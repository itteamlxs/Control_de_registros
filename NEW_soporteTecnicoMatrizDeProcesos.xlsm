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oporte Tecnico\Desktop\"/>
    </mc:Choice>
  </mc:AlternateContent>
  <xr:revisionPtr revIDLastSave="0" documentId="13_ncr:1_{C2AB5BD9-C21D-4DDE-ADBA-63713F3FD0BD}" xr6:coauthVersionLast="47" xr6:coauthVersionMax="47" xr10:uidLastSave="{00000000-0000-0000-0000-000000000000}"/>
  <bookViews>
    <workbookView xWindow="-120" yWindow="-120" windowWidth="20730" windowHeight="11160" firstSheet="1" activeTab="5" xr2:uid="{76FB873F-7541-40A1-9D60-B637E5119FC2}"/>
  </bookViews>
  <sheets>
    <sheet name="DOCUMENTACION" sheetId="3" r:id="rId1"/>
    <sheet name="CONTROL SOPORTE" sheetId="2" r:id="rId2"/>
    <sheet name="CONTROL ENTRADA SALIDA" sheetId="6" r:id="rId3"/>
    <sheet name="ENTIDADES" sheetId="1" state="hidden" r:id="rId4"/>
    <sheet name="REGISTROS" sheetId="4" state="hidden" r:id="rId5"/>
    <sheet name="REGISTRO ENTRADA_SALIDA" sheetId="7" r:id="rId6"/>
    <sheet name="ESTADISTICAS" sheetId="5" state="hidden" r:id="rId7"/>
  </sheets>
  <definedNames>
    <definedName name="_xlnm._FilterDatabase" localSheetId="3" hidden="1">ENTIDADES!$A$1:$D$2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2" l="1"/>
  <c r="E17" i="2"/>
  <c r="P10" i="6" l="1"/>
  <c r="R11" i="6"/>
  <c r="R10" i="6"/>
  <c r="R9" i="6"/>
  <c r="R8" i="6"/>
  <c r="R7" i="6"/>
  <c r="P7" i="6"/>
  <c r="P8" i="6"/>
  <c r="P9" i="6"/>
  <c r="P11" i="6"/>
  <c r="M16" i="6"/>
  <c r="M15" i="6"/>
  <c r="B9" i="6" l="1"/>
  <c r="C10" i="6"/>
  <c r="F21" i="5" l="1"/>
  <c r="F20" i="5"/>
  <c r="F19" i="5"/>
  <c r="E16" i="2" s="1"/>
  <c r="H7" i="5"/>
  <c r="H8" i="5"/>
  <c r="H9" i="5"/>
  <c r="H10" i="5"/>
  <c r="H11" i="5"/>
  <c r="H12" i="5"/>
  <c r="H13" i="5"/>
  <c r="H14" i="5"/>
  <c r="H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6" i="5"/>
  <c r="F15" i="5" l="1"/>
  <c r="F16" i="5"/>
  <c r="E11" i="2"/>
  <c r="E10" i="2"/>
  <c r="C14" i="2"/>
  <c r="F58" i="1" l="1"/>
  <c r="F55" i="1" s="1"/>
  <c r="F52" i="1" l="1"/>
  <c r="B6" i="2" s="1"/>
</calcChain>
</file>

<file path=xl/sharedStrings.xml><?xml version="1.0" encoding="utf-8"?>
<sst xmlns="http://schemas.openxmlformats.org/spreadsheetml/2006/main" count="461" uniqueCount="340">
  <si>
    <t>EMPLEADOS</t>
  </si>
  <si>
    <t>EMPLEADO</t>
  </si>
  <si>
    <t>CARGO</t>
  </si>
  <si>
    <t>EFRAIN RODRIGUEZ</t>
  </si>
  <si>
    <t>Gerente General</t>
  </si>
  <si>
    <t>DAISY CAROLINA MARTINEZ GALINDO</t>
  </si>
  <si>
    <t>Jefe de Contabilidad y Finanza</t>
  </si>
  <si>
    <t>ARMANDO REYES CASTILLO</t>
  </si>
  <si>
    <t>Gestor a Domicilio</t>
  </si>
  <si>
    <t>SOFONIAS BENJAMIN REYES CORRALES</t>
  </si>
  <si>
    <t>RENE ADONIS MORALES TREJO</t>
  </si>
  <si>
    <t>Administrador de Filial</t>
  </si>
  <si>
    <t>EULALIO HERRERA CORRALES</t>
  </si>
  <si>
    <t>YOVANNY RENE CRUZ OCHOA</t>
  </si>
  <si>
    <t>Administrador General</t>
  </si>
  <si>
    <t>ORLIN REINALDO AYALA AYALA</t>
  </si>
  <si>
    <t>LUIS DANIEL OSEGUERA MENDEZ</t>
  </si>
  <si>
    <t>DARLIN AMERICA REYES CORRALES</t>
  </si>
  <si>
    <t>OFICIAL DE NEGOCIO</t>
  </si>
  <si>
    <t>MAURICIO BENJAMIN SALGADO SAUCEDA</t>
  </si>
  <si>
    <t>Jefe de Cumplimiento</t>
  </si>
  <si>
    <t>OSCAR ALEJANDRO GUERRERO AMAYA</t>
  </si>
  <si>
    <t>Auditor interno</t>
  </si>
  <si>
    <t>ELBA ISTMANIA OSORTO VASQUEZ</t>
  </si>
  <si>
    <t>Asistente de Gerencia</t>
  </si>
  <si>
    <t>ARLIN ALEXANDER NAVAS FIALLOS</t>
  </si>
  <si>
    <t>Auxiliar de Planillas y cobros</t>
  </si>
  <si>
    <t>MARIA DEL CARMEN ZUNIGA ARGUETA</t>
  </si>
  <si>
    <t>Oficial de Negocio</t>
  </si>
  <si>
    <t>BIANKA KELIN ZUNIGA ZELAYA</t>
  </si>
  <si>
    <t>Oficial de Negocios</t>
  </si>
  <si>
    <t>EDWARD MICHAEL MARTINEZ</t>
  </si>
  <si>
    <t>FREDIS ANTONIO GARCIA ALVARADO</t>
  </si>
  <si>
    <t>MARIA JOSE MURILLO SANCHEZ</t>
  </si>
  <si>
    <t>CAJERA</t>
  </si>
  <si>
    <t>ANA CECILIA MEJIA GONZALEZ</t>
  </si>
  <si>
    <t>DENNIS ANTONIO MENDOZA GOMEZ</t>
  </si>
  <si>
    <t>ANDERSON JASSIEL LEON ZELAYA</t>
  </si>
  <si>
    <t>Oficial de Soporte Tecnico</t>
  </si>
  <si>
    <t>DOUGLAS ADALID FUNES ZELAYA</t>
  </si>
  <si>
    <t>BLANCA NOHEMI RODRIGUEZ MARQUEZ</t>
  </si>
  <si>
    <t>JOSE CANDIDO MORALES VELASQUEZ</t>
  </si>
  <si>
    <t>ANDY NOEL GONZALES CARRASCO</t>
  </si>
  <si>
    <t>Encargado de Vivienda/Mypime</t>
  </si>
  <si>
    <t>ERIKA SIOMARA CHAVARRIA</t>
  </si>
  <si>
    <t>RECEPCIONISTA</t>
  </si>
  <si>
    <t>VIKY ALEJANDRA TIJERINO RODRIGUEZ</t>
  </si>
  <si>
    <t>JOSUE LUIS DIAZ GARCIA</t>
  </si>
  <si>
    <t>KATHERINE GISSEL ALFARO RIVERA</t>
  </si>
  <si>
    <t>IVANIA  MARIELA BENITEZ HERNANDEZ</t>
  </si>
  <si>
    <t>Administradora de Filial</t>
  </si>
  <si>
    <t>JOSE RAMON MATUTE RIVERA</t>
  </si>
  <si>
    <t>MOTORISTA</t>
  </si>
  <si>
    <t>JORGE ARTURO GALLARDO LANZA</t>
  </si>
  <si>
    <t>Jefe de Tecnologia</t>
  </si>
  <si>
    <t>KENSSY MELISSA RAMOS SARAVIA</t>
  </si>
  <si>
    <t>Auxiliar Contable Senior</t>
  </si>
  <si>
    <t>BREDAN MAREL LOPEZ MATUTE</t>
  </si>
  <si>
    <t>Coordinador de CrŽditos</t>
  </si>
  <si>
    <t>MERY ELIZABETH MALDONADO ZAVALA</t>
  </si>
  <si>
    <t>ETELVINA ZALAVARRIA LAINEZ</t>
  </si>
  <si>
    <t>Jefe de Riesgos</t>
  </si>
  <si>
    <t>YOHANA DAMARY MEJIA CENTENO</t>
  </si>
  <si>
    <t>cajera</t>
  </si>
  <si>
    <t>JORGE HUMBERTO MEZA  HERRERA</t>
  </si>
  <si>
    <t>Oficial de Social Media</t>
  </si>
  <si>
    <t>DAVID ENRIQUE COTO PAZ</t>
  </si>
  <si>
    <t>MARIA FERNANDA ESCALANTE ESPINAL</t>
  </si>
  <si>
    <t>Oficial de Atenci—n</t>
  </si>
  <si>
    <t>JUAN CARLOS ELVIR ELVIR</t>
  </si>
  <si>
    <t>GERENTE DE NEGOCIOS</t>
  </si>
  <si>
    <t>ERICK ESTIVEN ELVIR MURILLO</t>
  </si>
  <si>
    <t>AUXILIAR DE COBRANZA</t>
  </si>
  <si>
    <t>KELLY JENIFFER GUDIEL GONZALES</t>
  </si>
  <si>
    <t>GUILLERMO JOSE MEJIA CARBAJAL</t>
  </si>
  <si>
    <t>CAJERO</t>
  </si>
  <si>
    <t>JOSE DANILO CORRALES</t>
  </si>
  <si>
    <t>GESTOR A DOMICILIO</t>
  </si>
  <si>
    <t>SINDY ZARAY CANALES MOTI„O</t>
  </si>
  <si>
    <t>OFICIAL DE CREDITOS/ATENCIïN</t>
  </si>
  <si>
    <t>LUIS RAMON TEJEDA REYES</t>
  </si>
  <si>
    <t>ELBA XIOMARA COTO CONTRERAS</t>
  </si>
  <si>
    <t>Servicios General</t>
  </si>
  <si>
    <t>JOSE SIMONSON CORNAVACA</t>
  </si>
  <si>
    <t>AUDITOR JUNIOR</t>
  </si>
  <si>
    <t>ORLANDO DAMIR ORDO„EZ ORDO„EZ</t>
  </si>
  <si>
    <t>Jefe de Cobranza</t>
  </si>
  <si>
    <t>LILIAN IVETH MALDONADO MARTINEZ</t>
  </si>
  <si>
    <t>Auxiliar Contable Junior</t>
  </si>
  <si>
    <t>ARONY MARSELI HERRERA PADILLA</t>
  </si>
  <si>
    <t>Coordinadora de TTHH</t>
  </si>
  <si>
    <t>CARLOS ARIEL PEREZ BERRIO</t>
  </si>
  <si>
    <t>Adminisrador de filial</t>
  </si>
  <si>
    <t>CARLOS EMANUEL MU„OZ LOPEZ</t>
  </si>
  <si>
    <t>GABRIELA ALEJANDRA CASTRO FLORES</t>
  </si>
  <si>
    <t>KELYN YESSENIA GUZMAN HERNANDEZ</t>
  </si>
  <si>
    <t>OFICIAL DE RIESGO</t>
  </si>
  <si>
    <t>CRISTHEL SAMARY BAQUEDANO FLORES</t>
  </si>
  <si>
    <t>Jefa de Mercadeo</t>
  </si>
  <si>
    <t>JOHANY MARGARITA URBINA CASTA„EDA</t>
  </si>
  <si>
    <t>Adminsitradora de Filial</t>
  </si>
  <si>
    <t>LILI JACQUELINE ALEGRIA AVELAR</t>
  </si>
  <si>
    <t>YARVYN RONALD CALDERïN ALVARADO</t>
  </si>
  <si>
    <t>ESTEFANY GISSELA RIVERA CRUZ</t>
  </si>
  <si>
    <t>Adinistradora de Filial</t>
  </si>
  <si>
    <t>ERLINDA FABIOLA HERNANDEZ URBINA</t>
  </si>
  <si>
    <t>RUT ABIGAIL BARDALES CORSO</t>
  </si>
  <si>
    <t>ID</t>
  </si>
  <si>
    <t>Recurrencia de Procesos</t>
  </si>
  <si>
    <t>Recurrente</t>
  </si>
  <si>
    <t>Mensual</t>
  </si>
  <si>
    <t>Semanal</t>
  </si>
  <si>
    <t>Escaso</t>
  </si>
  <si>
    <t xml:space="preserve">Seguridad Interna </t>
  </si>
  <si>
    <t>San Pedro Sula</t>
  </si>
  <si>
    <t>Talento Humano</t>
  </si>
  <si>
    <t>Metodologia y planeacion</t>
  </si>
  <si>
    <t>Mercadeo</t>
  </si>
  <si>
    <t>Mall Premier</t>
  </si>
  <si>
    <t>Informatica</t>
  </si>
  <si>
    <t>Gerencia General</t>
  </si>
  <si>
    <t>Gerencia de Negocios</t>
  </si>
  <si>
    <t>Filial Santa Cruz de Yojoa</t>
  </si>
  <si>
    <t>Filial San Pedro Sula</t>
  </si>
  <si>
    <t>Filial San jose de comayagua</t>
  </si>
  <si>
    <t>Filial Midence Soto</t>
  </si>
  <si>
    <t>'Filial El Mayoreo'</t>
  </si>
  <si>
    <t>Filial Lago de Yojoa</t>
  </si>
  <si>
    <t>Filial Comayagua</t>
  </si>
  <si>
    <t>Cumplimiento</t>
  </si>
  <si>
    <t>Creditos</t>
  </si>
  <si>
    <t>Contabilidad</t>
  </si>
  <si>
    <t>Colectores</t>
  </si>
  <si>
    <t>Cobranzas</t>
  </si>
  <si>
    <t>Caja</t>
  </si>
  <si>
    <t>Auditoria interna</t>
  </si>
  <si>
    <t>Atencion a afiliados</t>
  </si>
  <si>
    <t>Administracion</t>
  </si>
  <si>
    <t>Estados</t>
  </si>
  <si>
    <t>Resuelto</t>
  </si>
  <si>
    <t>Proceso</t>
  </si>
  <si>
    <t>Cancelado</t>
  </si>
  <si>
    <t>Librerias Disponibles</t>
  </si>
  <si>
    <t>Nombre Librería</t>
  </si>
  <si>
    <t>ID Librería</t>
  </si>
  <si>
    <t>CAJA</t>
  </si>
  <si>
    <t xml:space="preserve">CLIENTES </t>
  </si>
  <si>
    <t>CONTABILIDAD</t>
  </si>
  <si>
    <t>CREDITOS</t>
  </si>
  <si>
    <t>CUMPLIMIENTO</t>
  </si>
  <si>
    <t>GERENCIAL</t>
  </si>
  <si>
    <t>MTTO</t>
  </si>
  <si>
    <t xml:space="preserve">REPORTE </t>
  </si>
  <si>
    <t>RIESGOS</t>
  </si>
  <si>
    <t>AUDITORIA</t>
  </si>
  <si>
    <t>BASE DATOS</t>
  </si>
  <si>
    <t>NULL</t>
  </si>
  <si>
    <t>FILIAL</t>
  </si>
  <si>
    <t>Departamento</t>
  </si>
  <si>
    <t>DEPARTAMENTOS</t>
  </si>
  <si>
    <t>Filial Support</t>
  </si>
  <si>
    <t>Nombre Filial</t>
  </si>
  <si>
    <t>Prefix</t>
  </si>
  <si>
    <t>Oficina Principal</t>
  </si>
  <si>
    <t>OP</t>
  </si>
  <si>
    <t>Lago de Yojoa</t>
  </si>
  <si>
    <t>LY</t>
  </si>
  <si>
    <t>SP</t>
  </si>
  <si>
    <t>Centro Histórico</t>
  </si>
  <si>
    <t>CH</t>
  </si>
  <si>
    <t>Mall Premiere</t>
  </si>
  <si>
    <t>MP</t>
  </si>
  <si>
    <t>San José Comayagua</t>
  </si>
  <si>
    <t>SJC</t>
  </si>
  <si>
    <t>Zonal Belén</t>
  </si>
  <si>
    <t>ZB</t>
  </si>
  <si>
    <t>Comayagua</t>
  </si>
  <si>
    <t>CM</t>
  </si>
  <si>
    <t>Santa Cruz de Yojoa</t>
  </si>
  <si>
    <t>SC</t>
  </si>
  <si>
    <t>Ingreso de Caso</t>
  </si>
  <si>
    <t xml:space="preserve">Proceso </t>
  </si>
  <si>
    <t xml:space="preserve">Filial </t>
  </si>
  <si>
    <t>Continuidad</t>
  </si>
  <si>
    <t>Fecha Solicitud</t>
  </si>
  <si>
    <t xml:space="preserve">Librería 1 </t>
  </si>
  <si>
    <t>Estado</t>
  </si>
  <si>
    <t>Librería 2</t>
  </si>
  <si>
    <t>Solicita:</t>
  </si>
  <si>
    <t>Cantidad</t>
  </si>
  <si>
    <t>MES ACTUAL</t>
  </si>
  <si>
    <t>No.</t>
  </si>
  <si>
    <t>Nombre de proceso</t>
  </si>
  <si>
    <t>Activar prestamo por planilla</t>
  </si>
  <si>
    <t>Apertura de candado Creditos</t>
  </si>
  <si>
    <t>Activar/Desactivar Cuenta</t>
  </si>
  <si>
    <t>Anulacion de Recibos</t>
  </si>
  <si>
    <t>Anulacion de Cheques</t>
  </si>
  <si>
    <t>Apertura/Cierre contabilidad Diario</t>
  </si>
  <si>
    <t>Apertura/Cierre contabilidad Mensual</t>
  </si>
  <si>
    <t>Cambiar tasa de interes a credito</t>
  </si>
  <si>
    <t>Cambio a ficha de prestamo</t>
  </si>
  <si>
    <t>Cambio de Fecha de pago</t>
  </si>
  <si>
    <t>Cambio de contrasenia de USEr</t>
  </si>
  <si>
    <t>Cambio de estado de Items de partida</t>
  </si>
  <si>
    <t>Cambiar estado de garantia prestamo</t>
  </si>
  <si>
    <t>Colocar en 0 Transacción</t>
  </si>
  <si>
    <t>Dar de Alta/Baja usuario</t>
  </si>
  <si>
    <t>Mantenimiento Email (Cpanel)</t>
  </si>
  <si>
    <t>Monitoreo de servicio de internet</t>
  </si>
  <si>
    <t>Mantenimiento Remoto Desktop</t>
  </si>
  <si>
    <t>Pignorar/Despignorar saldo</t>
  </si>
  <si>
    <t>Poner en cero remesas duplicadas</t>
  </si>
  <si>
    <t>Reporte de Cumplimiento</t>
  </si>
  <si>
    <t>Reporte de alerta temprana</t>
  </si>
  <si>
    <t>Reporte de Cobros(Cortina)</t>
  </si>
  <si>
    <t>Reporte de cuentas inactivas</t>
  </si>
  <si>
    <t>Reporte Ahorro/Creditos</t>
  </si>
  <si>
    <t>Reporte Cobros (Cortina)</t>
  </si>
  <si>
    <t>Reporte de Equifax</t>
  </si>
  <si>
    <t>Reporte Colecta (AU) con saldo 0</t>
  </si>
  <si>
    <t>Reporte DPF (AU) con saldo 0</t>
  </si>
  <si>
    <t>Reporte Credito (AU) con saldo 0</t>
  </si>
  <si>
    <t>Reporte Ahorro(AU) con saldo 0</t>
  </si>
  <si>
    <t>Reporte Intereses pagados</t>
  </si>
  <si>
    <t>Soporte Remoto/Presencial</t>
  </si>
  <si>
    <t>Soporte Caida de datos TIGO</t>
  </si>
  <si>
    <t>Soporte de Hardware Filial</t>
  </si>
  <si>
    <t xml:space="preserve">Solicitud de base de datos </t>
  </si>
  <si>
    <t>Usuarios y Permisos</t>
  </si>
  <si>
    <t>Otorgar/Quitar permisos a usuario</t>
  </si>
  <si>
    <t>Error de librería</t>
  </si>
  <si>
    <t>Cargo</t>
  </si>
  <si>
    <t>Departamento de informatica</t>
  </si>
  <si>
    <t>AÑO ACTUAL</t>
  </si>
  <si>
    <t>REGISTRAR</t>
  </si>
  <si>
    <t>1.</t>
  </si>
  <si>
    <t>2.</t>
  </si>
  <si>
    <t>3.</t>
  </si>
  <si>
    <t>El modulo registrar funciona a base de listas de datos que se encuentran almacenadas en la hoja Entidades.</t>
  </si>
  <si>
    <t>Los campos en color rojo claro no deben ser editados, ya que contienen formulas que retornan un valor auto.</t>
  </si>
  <si>
    <t>Celdas [REGISTRAR]</t>
  </si>
  <si>
    <t xml:space="preserve">Libreria 1 y 2 </t>
  </si>
  <si>
    <t>Fecha de Solicitud</t>
  </si>
  <si>
    <t xml:space="preserve">Solicita </t>
  </si>
  <si>
    <t>Es el tipo de proceso de mantenimiento a realizar, linkeado en la tabla procesos de la hoja [ENTIDADES]</t>
  </si>
  <si>
    <t>Define la recurrecia del proceso, osea cuantas veces pasa en el mes [Recurrente, Mensual, Escaso,Semanal]. Likeado a tabla recurrecian en [ENTIDADES]</t>
  </si>
  <si>
    <t>Definen el tipo de libreria involucrada en el proceso a resolver, no todos los procesos se resuelven con lib, la tabla Librerias tienen tambien la opcion base de datos en [ENTIDADES]</t>
  </si>
  <si>
    <r>
      <t xml:space="preserve">Cargo de la persona que solicita linkeado a la tabla de empleados de [ENTIDADES] </t>
    </r>
    <r>
      <rPr>
        <b/>
        <sz val="11"/>
        <color theme="1"/>
        <rFont val="Aptos Narrow"/>
        <family val="2"/>
        <scheme val="minor"/>
      </rPr>
      <t>NO SE EDITA</t>
    </r>
  </si>
  <si>
    <r>
      <t xml:space="preserve">Filial donde labora la persona que solicita linkeado a la tabla de empleados de [ENTIDADES] </t>
    </r>
    <r>
      <rPr>
        <b/>
        <sz val="11"/>
        <color theme="1"/>
        <rFont val="Aptos Narrow"/>
        <family val="2"/>
        <scheme val="minor"/>
      </rPr>
      <t>NO SE EDITA</t>
    </r>
  </si>
  <si>
    <r>
      <t xml:space="preserve">Fecha que solicitan el soporte, se basa en la formula </t>
    </r>
    <r>
      <rPr>
        <b/>
        <sz val="11"/>
        <color theme="1"/>
        <rFont val="Aptos Narrow"/>
        <family val="2"/>
        <scheme val="minor"/>
      </rPr>
      <t>HOY()</t>
    </r>
    <r>
      <rPr>
        <sz val="11"/>
        <color theme="1"/>
        <rFont val="Aptos Narrow"/>
        <family val="2"/>
        <scheme val="minor"/>
      </rPr>
      <t xml:space="preserve"> de excel </t>
    </r>
    <r>
      <rPr>
        <b/>
        <sz val="11"/>
        <color theme="1"/>
        <rFont val="Aptos Narrow"/>
        <family val="2"/>
        <scheme val="minor"/>
      </rPr>
      <t>NO SE EDITA</t>
    </r>
  </si>
  <si>
    <t xml:space="preserve">Estado de la solicitud del soporte, se basa en la tabla estados de [ENTIDADES] </t>
  </si>
  <si>
    <t xml:space="preserve">Nombre de quien hace la solicitud del soporte, se basa en la tabla de empleados de [ENTIDADES] </t>
  </si>
  <si>
    <t>Cantidad de procesos que pidió ese empleado en especifico</t>
  </si>
  <si>
    <t>Registros de soporte tecnico, control de prestamos de equipo informatico, control de inventarios de equipo informatico</t>
  </si>
  <si>
    <t>Departamento de Informatica de la Cooperativa 15 de Septiembre</t>
  </si>
  <si>
    <t>DOCUMENTACION DE MATRIZ DE PROCESOS E INVENTARIOS</t>
  </si>
  <si>
    <t>4.</t>
  </si>
  <si>
    <r>
      <rPr>
        <b/>
        <sz val="11"/>
        <color theme="1"/>
        <rFont val="Aptos Narrow"/>
        <family val="2"/>
        <scheme val="minor"/>
      </rPr>
      <t xml:space="preserve">Importante: </t>
    </r>
    <r>
      <rPr>
        <sz val="11"/>
        <color theme="1"/>
        <rFont val="Aptos Narrow"/>
        <family val="2"/>
        <scheme val="minor"/>
      </rPr>
      <t>En el encabezado, El titulo es dinamico, esta con una formula que muestra el mes actual almacenado en [Entidades]</t>
    </r>
  </si>
  <si>
    <t>FECHA</t>
  </si>
  <si>
    <r>
      <t xml:space="preserve">Los botones de </t>
    </r>
    <r>
      <rPr>
        <b/>
        <sz val="11"/>
        <color theme="1"/>
        <rFont val="Aptos Narrow"/>
        <family val="2"/>
        <scheme val="minor"/>
      </rPr>
      <t>REGISTRAR Y LIMPIAR</t>
    </r>
    <r>
      <rPr>
        <sz val="11"/>
        <color theme="1"/>
        <rFont val="Aptos Narrow"/>
        <family val="2"/>
        <scheme val="minor"/>
      </rPr>
      <t xml:space="preserve"> tienen codigo VB, se necesita entrar al modo disenio y luego al codigo para editarlos</t>
    </r>
  </si>
  <si>
    <t>[La documentacion de la edicion de los botones esta en el codigo mismo].</t>
  </si>
  <si>
    <t>Frecuencia</t>
  </si>
  <si>
    <t>Lib1</t>
  </si>
  <si>
    <t>Lib2</t>
  </si>
  <si>
    <t>Puesto de trabajo</t>
  </si>
  <si>
    <t>Empleado</t>
  </si>
  <si>
    <t>Filial</t>
  </si>
  <si>
    <t>Matriz de registros de soporte técnico</t>
  </si>
  <si>
    <t>Departamento de informática</t>
  </si>
  <si>
    <t>Ocurrencias</t>
  </si>
  <si>
    <t>Conteo de Recurrencia</t>
  </si>
  <si>
    <t>PANEL DE ESTADISTICAS DE REGISTROS DE SOPORTE TECNICO</t>
  </si>
  <si>
    <t>DEPARTAMENTO DE INFORMATICA</t>
  </si>
  <si>
    <t>Tota/Filial</t>
  </si>
  <si>
    <t>Total  de procesos realizados</t>
  </si>
  <si>
    <t>Total por filial</t>
  </si>
  <si>
    <t>Total Resueltos</t>
  </si>
  <si>
    <t>Resultados de Estatus</t>
  </si>
  <si>
    <t>Total Cancelados</t>
  </si>
  <si>
    <t>Total En proceso</t>
  </si>
  <si>
    <t>Resueltos</t>
  </si>
  <si>
    <t>Total Status proc</t>
  </si>
  <si>
    <t>Contiene un total de cada uno de los estados de los procesos realizados, linkeado a la Hoja de estadisticas</t>
  </si>
  <si>
    <t>REGISTROS</t>
  </si>
  <si>
    <t>Contiene almacenado todos los procesos realizados junto con todos sus datos</t>
  </si>
  <si>
    <t>Provee informacion vital a ESTADISTICAS para generar los totales del mes</t>
  </si>
  <si>
    <t>ESTADISTICAS</t>
  </si>
  <si>
    <r>
      <t xml:space="preserve">Conteo de recurrencia se genera a partir de la tabla </t>
    </r>
    <r>
      <rPr>
        <b/>
        <sz val="11"/>
        <color theme="1"/>
        <rFont val="Aptos Narrow"/>
        <family val="2"/>
        <scheme val="minor"/>
      </rPr>
      <t>REGISTROS</t>
    </r>
    <r>
      <rPr>
        <sz val="11"/>
        <color theme="1"/>
        <rFont val="Aptos Narrow"/>
        <family val="2"/>
        <scheme val="minor"/>
      </rPr>
      <t>, cuenta cuantos registros se han almacenado de cada proceso</t>
    </r>
  </si>
  <si>
    <r>
      <t xml:space="preserve">Soporte de filiales se genera a partor de la hoja </t>
    </r>
    <r>
      <rPr>
        <b/>
        <sz val="11"/>
        <color theme="1"/>
        <rFont val="Aptos Narrow"/>
        <family val="2"/>
        <scheme val="minor"/>
      </rPr>
      <t>REGISTROS</t>
    </r>
    <r>
      <rPr>
        <sz val="11"/>
        <color theme="1"/>
        <rFont val="Aptos Narrow"/>
        <family val="2"/>
        <scheme val="minor"/>
      </rPr>
      <t>, con el conteo de peticiones por filial</t>
    </r>
  </si>
  <si>
    <t>Los resultados de status son la el total de status de cada proceso categorizado por [Resuelto, En Proceso, Cancelado]</t>
  </si>
  <si>
    <t>Los graficos son generados partiendo de las tablas de los conteos por proceso y conteo soporte por filial</t>
  </si>
  <si>
    <t>Mantenimiento de Impresora</t>
  </si>
  <si>
    <t>Mantenimiento Pc de Escritorio</t>
  </si>
  <si>
    <t>Mantenimiento de Laptop</t>
  </si>
  <si>
    <t>Mantenimiento de Olivetti</t>
  </si>
  <si>
    <t>Mantenimiento de Kyocera</t>
  </si>
  <si>
    <t>ACTA DE ENTREGA Y RECEPCION DE EQUIPO</t>
  </si>
  <si>
    <t>El siguiente documento hace constar que el departamento de informática hizo préstamo de equipo tecnológico</t>
  </si>
  <si>
    <t>Fecha Entrega</t>
  </si>
  <si>
    <t>Fecha que retornó</t>
  </si>
  <si>
    <t>Equipo Asignado a:</t>
  </si>
  <si>
    <t xml:space="preserve">Entregado por: </t>
  </si>
  <si>
    <t>ANDERSON LEON</t>
  </si>
  <si>
    <t>Descripción del Equipo</t>
  </si>
  <si>
    <t>Número de Inventario</t>
  </si>
  <si>
    <t>Serie</t>
  </si>
  <si>
    <t>Marca</t>
  </si>
  <si>
    <t>Nombre de Equipo</t>
  </si>
  <si>
    <t>Observaciones</t>
  </si>
  <si>
    <t>Centro de comandos</t>
  </si>
  <si>
    <t>Total Prestado</t>
  </si>
  <si>
    <t>No. Registro</t>
  </si>
  <si>
    <t>Fecha de Entrega</t>
  </si>
  <si>
    <t>Fecha de Retorno</t>
  </si>
  <si>
    <t>Entrega</t>
  </si>
  <si>
    <t xml:space="preserve">Nombre </t>
  </si>
  <si>
    <t>Inventario</t>
  </si>
  <si>
    <t>REGISTRO DE PRESTAMOS DE EQUIPO ENTRADA/SALIDA</t>
  </si>
  <si>
    <t>Total Devuelto</t>
  </si>
  <si>
    <t>CONTROL DE ENTRADA SALIDA</t>
  </si>
  <si>
    <t>El boton de registro graba los rangos de los campos que tienen una informacion importante y devuelven a cero las celdas del registro</t>
  </si>
  <si>
    <t>Este formato fue elaborado para poder imprimirse a la hora de entregar el equipo, y poner fecha en el registro al ser devuelto.</t>
  </si>
  <si>
    <t>Podemos buscar segun el numero de registro cualquier dato importante para ver su estatus y quien fue el ultimo que lo tuvo</t>
  </si>
  <si>
    <t>Cada que almacenamos un registro el boton esta programado para sumarle +1 a la celda F24,  este numero autoincremental, genera el numero de registro y queda como un parametro adicional de seguridad para imprimir. Si se puede reinciar en caso de que se haya perdido un correlativo y se necesite corregir un registro, pero se debe recordar en que correlativo esta actualmente el ultimo registro.</t>
  </si>
  <si>
    <t>Matriz de Consulta</t>
  </si>
  <si>
    <t xml:space="preserve">Asignado a </t>
  </si>
  <si>
    <t>Entregado por</t>
  </si>
  <si>
    <t>Nombre</t>
  </si>
  <si>
    <t>Fecha retorno</t>
  </si>
  <si>
    <t>REGISTRO #</t>
  </si>
  <si>
    <t>Buscar Registro</t>
  </si>
  <si>
    <t>1. Primero Imprimir</t>
  </si>
  <si>
    <t>2. Luego Almacenar Datos</t>
  </si>
  <si>
    <t>5.</t>
  </si>
  <si>
    <t>La matriz de consulta permite ver el estatus de un registro fisico si esta prestado/devuelto segun el registro fisico.</t>
  </si>
  <si>
    <t>COMO USAR?</t>
  </si>
  <si>
    <t>Da clic secundario sobre el nombre de la hoja, clic en mostrar, clic en DOCUMENTACION</t>
  </si>
  <si>
    <t>En Proceso</t>
  </si>
  <si>
    <t>Cancelados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</si>
</sst>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b/>
      <sz val="11"/>
      <color theme="6" tint="-0.499984740745262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8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8"/>
      <color theme="0"/>
      <name val="Aptos Narrow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6"/>
      </patternFill>
    </fill>
    <fill>
      <patternFill patternType="solid">
        <fgColor theme="9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FFEB9C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FF9900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DF3A5"/>
        <bgColor indexed="64"/>
      </patternFill>
    </fill>
    <fill>
      <patternFill patternType="solid">
        <fgColor rgb="FFFFC0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10" fillId="10" borderId="0" applyNumberFormat="0" applyBorder="0" applyAlignment="0" applyProtection="0"/>
    <xf numFmtId="0" fontId="4" fillId="11" borderId="0" applyNumberFormat="0" applyBorder="0" applyAlignment="0" applyProtection="0"/>
    <xf numFmtId="0" fontId="10" fillId="12" borderId="0">
      <alignment horizontal="center"/>
    </xf>
    <xf numFmtId="0" fontId="4" fillId="13" borderId="0" applyNumberFormat="0" applyBorder="0" applyAlignment="0" applyProtection="0"/>
    <xf numFmtId="0" fontId="13" fillId="0" borderId="0" applyNumberFormat="0" applyFill="0" applyBorder="0" applyAlignment="0" applyProtection="0"/>
    <xf numFmtId="0" fontId="2" fillId="14" borderId="0" applyNumberFormat="0" applyBorder="0" applyAlignment="0" applyProtection="0"/>
  </cellStyleXfs>
  <cellXfs count="97">
    <xf numFmtId="0" fontId="0" fillId="0" borderId="0" xfId="0"/>
    <xf numFmtId="0" fontId="0" fillId="0" borderId="1" xfId="0" applyBorder="1"/>
    <xf numFmtId="0" fontId="1" fillId="4" borderId="1" xfId="0" applyFont="1" applyFill="1" applyBorder="1"/>
    <xf numFmtId="0" fontId="1" fillId="5" borderId="1" xfId="0" applyFont="1" applyFill="1" applyBorder="1"/>
    <xf numFmtId="0" fontId="2" fillId="2" borderId="1" xfId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0" fillId="0" borderId="5" xfId="0" applyBorder="1"/>
    <xf numFmtId="49" fontId="0" fillId="0" borderId="1" xfId="0" applyNumberFormat="1" applyBorder="1"/>
    <xf numFmtId="0" fontId="1" fillId="4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6" borderId="4" xfId="0" applyFont="1" applyFill="1" applyBorder="1"/>
    <xf numFmtId="0" fontId="4" fillId="9" borderId="1" xfId="5" applyBorder="1" applyAlignment="1">
      <alignment horizontal="right" vertical="center"/>
    </xf>
    <xf numFmtId="0" fontId="6" fillId="7" borderId="1" xfId="3" applyFont="1" applyBorder="1" applyAlignment="1">
      <alignment horizontal="right" vertical="center"/>
    </xf>
    <xf numFmtId="0" fontId="7" fillId="7" borderId="1" xfId="3" applyFont="1" applyBorder="1"/>
    <xf numFmtId="0" fontId="0" fillId="0" borderId="3" xfId="0" applyBorder="1"/>
    <xf numFmtId="0" fontId="3" fillId="0" borderId="1" xfId="0" applyFont="1" applyBorder="1"/>
    <xf numFmtId="0" fontId="0" fillId="0" borderId="1" xfId="0" applyBorder="1" applyAlignment="1">
      <alignment horizontal="right"/>
    </xf>
    <xf numFmtId="0" fontId="2" fillId="4" borderId="1" xfId="1" applyFill="1" applyBorder="1" applyAlignment="1">
      <alignment horizontal="center"/>
    </xf>
    <xf numFmtId="0" fontId="3" fillId="0" borderId="0" xfId="0" applyFont="1"/>
    <xf numFmtId="0" fontId="0" fillId="0" borderId="8" xfId="0" applyBorder="1" applyAlignment="1">
      <alignment horizontal="left"/>
    </xf>
    <xf numFmtId="0" fontId="3" fillId="0" borderId="3" xfId="0" applyFont="1" applyBorder="1"/>
    <xf numFmtId="0" fontId="0" fillId="0" borderId="9" xfId="0" applyBorder="1"/>
    <xf numFmtId="0" fontId="2" fillId="2" borderId="0" xfId="1" applyBorder="1"/>
    <xf numFmtId="0" fontId="0" fillId="0" borderId="5" xfId="0" applyBorder="1" applyAlignment="1">
      <alignment horizontal="right"/>
    </xf>
    <xf numFmtId="14" fontId="0" fillId="0" borderId="0" xfId="0" applyNumberFormat="1"/>
    <xf numFmtId="0" fontId="2" fillId="2" borderId="0" xfId="1"/>
    <xf numFmtId="0" fontId="2" fillId="2" borderId="1" xfId="1" applyBorder="1"/>
    <xf numFmtId="0" fontId="2" fillId="3" borderId="1" xfId="2" applyBorder="1" applyAlignment="1">
      <alignment horizontal="center"/>
    </xf>
    <xf numFmtId="0" fontId="2" fillId="3" borderId="1" xfId="2" applyBorder="1"/>
    <xf numFmtId="0" fontId="2" fillId="3" borderId="0" xfId="2"/>
    <xf numFmtId="0" fontId="2" fillId="3" borderId="5" xfId="2" applyBorder="1"/>
    <xf numFmtId="0" fontId="1" fillId="3" borderId="1" xfId="2" applyFont="1" applyBorder="1"/>
    <xf numFmtId="0" fontId="4" fillId="8" borderId="1" xfId="4" applyBorder="1"/>
    <xf numFmtId="0" fontId="0" fillId="0" borderId="4" xfId="0" applyBorder="1"/>
    <xf numFmtId="0" fontId="0" fillId="0" borderId="10" xfId="0" applyBorder="1"/>
    <xf numFmtId="0" fontId="0" fillId="0" borderId="11" xfId="0" applyBorder="1"/>
    <xf numFmtId="0" fontId="3" fillId="0" borderId="12" xfId="0" applyFont="1" applyBorder="1"/>
    <xf numFmtId="0" fontId="9" fillId="8" borderId="0" xfId="4" applyFont="1" applyBorder="1"/>
    <xf numFmtId="0" fontId="7" fillId="12" borderId="0" xfId="8" applyFo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/>
    <xf numFmtId="0" fontId="1" fillId="2" borderId="1" xfId="1" applyFont="1" applyBorder="1"/>
    <xf numFmtId="0" fontId="2" fillId="2" borderId="5" xfId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3" xfId="0" applyBorder="1"/>
    <xf numFmtId="0" fontId="0" fillId="0" borderId="12" xfId="0" applyBorder="1" applyAlignment="1">
      <alignment horizontal="center"/>
    </xf>
    <xf numFmtId="0" fontId="0" fillId="0" borderId="12" xfId="0" applyBorder="1"/>
    <xf numFmtId="0" fontId="2" fillId="2" borderId="12" xfId="1" applyBorder="1"/>
    <xf numFmtId="0" fontId="12" fillId="0" borderId="0" xfId="0" applyFont="1"/>
    <xf numFmtId="0" fontId="6" fillId="6" borderId="0" xfId="1" applyFont="1" applyFill="1"/>
    <xf numFmtId="0" fontId="0" fillId="0" borderId="0" xfId="0" applyAlignment="1">
      <alignment horizontal="right"/>
    </xf>
    <xf numFmtId="0" fontId="4" fillId="13" borderId="0" xfId="9" applyAlignment="1">
      <alignment horizontal="right"/>
    </xf>
    <xf numFmtId="0" fontId="4" fillId="13" borderId="0" xfId="9" applyAlignment="1">
      <alignment horizontal="right" vertical="center"/>
    </xf>
    <xf numFmtId="14" fontId="0" fillId="0" borderId="1" xfId="0" applyNumberFormat="1" applyBorder="1" applyAlignment="1">
      <alignment horizontal="right"/>
    </xf>
    <xf numFmtId="14" fontId="0" fillId="0" borderId="5" xfId="0" applyNumberFormat="1" applyBorder="1" applyAlignment="1">
      <alignment horizontal="right"/>
    </xf>
    <xf numFmtId="0" fontId="2" fillId="3" borderId="4" xfId="2" applyBorder="1"/>
    <xf numFmtId="0" fontId="7" fillId="13" borderId="0" xfId="9" applyFont="1"/>
    <xf numFmtId="0" fontId="13" fillId="0" borderId="5" xfId="10" applyBorder="1"/>
    <xf numFmtId="0" fontId="12" fillId="0" borderId="0" xfId="0" applyFont="1" applyAlignment="1">
      <alignment wrapText="1"/>
    </xf>
    <xf numFmtId="0" fontId="14" fillId="14" borderId="0" xfId="11" applyFont="1" applyAlignment="1">
      <alignment horizontal="center" vertical="center"/>
    </xf>
    <xf numFmtId="0" fontId="2" fillId="2" borderId="1" xfId="1" applyBorder="1" applyAlignment="1">
      <alignment vertical="center"/>
    </xf>
    <xf numFmtId="0" fontId="3" fillId="15" borderId="4" xfId="0" applyFont="1" applyFill="1" applyBorder="1"/>
    <xf numFmtId="0" fontId="7" fillId="15" borderId="4" xfId="3" applyFont="1" applyFill="1" applyBorder="1"/>
    <xf numFmtId="0" fontId="7" fillId="17" borderId="4" xfId="6" applyFont="1" applyFill="1" applyBorder="1"/>
    <xf numFmtId="0" fontId="7" fillId="18" borderId="4" xfId="3" applyFont="1" applyFill="1" applyBorder="1"/>
    <xf numFmtId="0" fontId="14" fillId="16" borderId="0" xfId="11" applyFont="1" applyFill="1" applyAlignment="1">
      <alignment horizontal="center" vertical="center"/>
    </xf>
    <xf numFmtId="0" fontId="8" fillId="2" borderId="0" xfId="1" applyFont="1" applyAlignment="1">
      <alignment horizontal="center"/>
    </xf>
    <xf numFmtId="0" fontId="3" fillId="8" borderId="0" xfId="4" applyFont="1" applyAlignment="1">
      <alignment horizontal="center"/>
    </xf>
    <xf numFmtId="0" fontId="2" fillId="3" borderId="0" xfId="2" applyAlignment="1">
      <alignment horizont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1" fillId="4" borderId="0" xfId="0" applyFont="1" applyFill="1" applyAlignment="1">
      <alignment horizontal="center"/>
    </xf>
    <xf numFmtId="0" fontId="2" fillId="4" borderId="0" xfId="1" applyFill="1" applyAlignment="1">
      <alignment horizontal="center"/>
    </xf>
    <xf numFmtId="0" fontId="2" fillId="5" borderId="0" xfId="2" applyFill="1" applyAlignment="1">
      <alignment horizontal="center"/>
    </xf>
    <xf numFmtId="0" fontId="0" fillId="0" borderId="0" xfId="0" applyAlignment="1">
      <alignment horizontal="center"/>
    </xf>
    <xf numFmtId="0" fontId="2" fillId="2" borderId="0" xfId="1" applyAlignment="1">
      <alignment horizontal="center"/>
    </xf>
    <xf numFmtId="0" fontId="4" fillId="8" borderId="0" xfId="4" applyAlignment="1">
      <alignment horizontal="center"/>
    </xf>
    <xf numFmtId="0" fontId="4" fillId="11" borderId="0" xfId="7" applyAlignment="1">
      <alignment horizontal="center"/>
    </xf>
    <xf numFmtId="0" fontId="1" fillId="2" borderId="1" xfId="1" applyFont="1" applyBorder="1" applyAlignment="1">
      <alignment horizontal="left"/>
    </xf>
    <xf numFmtId="0" fontId="2" fillId="2" borderId="1" xfId="1" applyBorder="1" applyAlignment="1">
      <alignment horizontal="center" vertical="center"/>
    </xf>
    <xf numFmtId="0" fontId="2" fillId="2" borderId="5" xfId="1" applyBorder="1" applyAlignment="1">
      <alignment horizontal="center" vertical="center"/>
    </xf>
    <xf numFmtId="0" fontId="2" fillId="2" borderId="13" xfId="1" applyBorder="1" applyAlignment="1">
      <alignment horizontal="center" vertical="center"/>
    </xf>
    <xf numFmtId="0" fontId="1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3" borderId="3" xfId="2" applyBorder="1" applyAlignment="1">
      <alignment horizontal="center"/>
    </xf>
    <xf numFmtId="0" fontId="2" fillId="3" borderId="1" xfId="2" applyBorder="1" applyAlignment="1">
      <alignment horizontal="center"/>
    </xf>
    <xf numFmtId="0" fontId="11" fillId="2" borderId="1" xfId="1" applyFont="1" applyBorder="1" applyAlignment="1">
      <alignment horizontal="center"/>
    </xf>
    <xf numFmtId="0" fontId="2" fillId="2" borderId="1" xfId="1" applyBorder="1" applyAlignment="1">
      <alignment horizontal="center"/>
    </xf>
    <xf numFmtId="0" fontId="1" fillId="2" borderId="3" xfId="1" applyFont="1" applyBorder="1" applyAlignment="1">
      <alignment horizontal="center"/>
    </xf>
    <xf numFmtId="0" fontId="2" fillId="2" borderId="0" xfId="1" applyBorder="1" applyAlignment="1">
      <alignment horizontal="center"/>
    </xf>
  </cellXfs>
  <cellStyles count="12">
    <cellStyle name="20% - Énfasis3" xfId="7" builtinId="38"/>
    <cellStyle name="20% - Énfasis6" xfId="9" builtinId="50"/>
    <cellStyle name="40% - Énfasis6" xfId="5" builtinId="51"/>
    <cellStyle name="60% - Énfasis3" xfId="4" builtinId="40"/>
    <cellStyle name="Énfasis2" xfId="11" builtinId="33"/>
    <cellStyle name="Énfasis3" xfId="1" builtinId="37"/>
    <cellStyle name="Énfasis6" xfId="2" builtinId="49"/>
    <cellStyle name="Estilo 1" xfId="8" xr:uid="{245DEBA3-21AC-4B4D-B47B-E45B54294C7A}"/>
    <cellStyle name="Hipervínculo" xfId="10" builtinId="8"/>
    <cellStyle name="Incorrecto" xfId="3" builtinId="27"/>
    <cellStyle name="Neutral" xfId="6" builtinId="28"/>
    <cellStyle name="Normal" xfId="0" builtinId="0"/>
  </cellStyles>
  <dxfs count="2">
    <dxf>
      <fill>
        <patternFill>
          <bgColor rgb="FFFDF3A5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DF3A5"/>
      <color rgb="FFFCEB70"/>
      <color rgb="FFFF81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400" b="0" i="0" u="none" strike="noStrike" baseline="0">
                <a:effectLst/>
              </a:rPr>
              <a:t>Estadísticas del mes  de [MES]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ESTADISTICAS!$B$6:$B$44</c:f>
              <c:strCache>
                <c:ptCount val="39"/>
                <c:pt idx="0">
                  <c:v>Activar prestamo por planilla</c:v>
                </c:pt>
                <c:pt idx="1">
                  <c:v>Apertura de candado Creditos</c:v>
                </c:pt>
                <c:pt idx="2">
                  <c:v>Activar/Desactivar Cuenta</c:v>
                </c:pt>
                <c:pt idx="3">
                  <c:v>Anulacion de Recibos</c:v>
                </c:pt>
                <c:pt idx="4">
                  <c:v>Anulacion de Cheques</c:v>
                </c:pt>
                <c:pt idx="5">
                  <c:v>Apertura/Cierre contabilidad Diario</c:v>
                </c:pt>
                <c:pt idx="6">
                  <c:v>Apertura/Cierre contabilidad Mensual</c:v>
                </c:pt>
                <c:pt idx="7">
                  <c:v>Cambiar tasa de interes a credito</c:v>
                </c:pt>
                <c:pt idx="8">
                  <c:v>Cambio a ficha de prestamo</c:v>
                </c:pt>
                <c:pt idx="9">
                  <c:v>Cambio de Fecha de pago</c:v>
                </c:pt>
                <c:pt idx="10">
                  <c:v>Cambio de contrasenia de USEr</c:v>
                </c:pt>
                <c:pt idx="11">
                  <c:v>Cambio de estado de Items de partida</c:v>
                </c:pt>
                <c:pt idx="12">
                  <c:v>Cambiar estado de garantia prestamo</c:v>
                </c:pt>
                <c:pt idx="13">
                  <c:v>Colocar en 0 Transacción</c:v>
                </c:pt>
                <c:pt idx="14">
                  <c:v>Dar de Alta/Baja usuario</c:v>
                </c:pt>
                <c:pt idx="15">
                  <c:v>Error de librería</c:v>
                </c:pt>
                <c:pt idx="16">
                  <c:v>Mantenimiento Email (Cpanel)</c:v>
                </c:pt>
                <c:pt idx="17">
                  <c:v>Monitoreo de servicio de internet</c:v>
                </c:pt>
                <c:pt idx="18">
                  <c:v>Mantenimiento Remoto Desktop</c:v>
                </c:pt>
                <c:pt idx="19">
                  <c:v>Pignorar/Despignorar saldo</c:v>
                </c:pt>
                <c:pt idx="20">
                  <c:v>Poner en cero remesas duplicadas</c:v>
                </c:pt>
                <c:pt idx="21">
                  <c:v>Reporte de Cumplimiento</c:v>
                </c:pt>
                <c:pt idx="22">
                  <c:v>Reporte de alerta temprana</c:v>
                </c:pt>
                <c:pt idx="23">
                  <c:v>Reporte de Cobros(Cortina)</c:v>
                </c:pt>
                <c:pt idx="24">
                  <c:v>Reporte de cuentas inactivas</c:v>
                </c:pt>
                <c:pt idx="25">
                  <c:v>Reporte Ahorro/Creditos</c:v>
                </c:pt>
                <c:pt idx="26">
                  <c:v>Reporte Cobros (Cortina)</c:v>
                </c:pt>
                <c:pt idx="27">
                  <c:v>Reporte de Equifax</c:v>
                </c:pt>
                <c:pt idx="28">
                  <c:v>Reporte Colecta (AU) con saldo 0</c:v>
                </c:pt>
                <c:pt idx="29">
                  <c:v>Reporte DPF (AU) con saldo 0</c:v>
                </c:pt>
                <c:pt idx="30">
                  <c:v>Reporte Credito (AU) con saldo 0</c:v>
                </c:pt>
                <c:pt idx="31">
                  <c:v>Reporte Ahorro(AU) con saldo 0</c:v>
                </c:pt>
                <c:pt idx="32">
                  <c:v>Reporte Intereses pagados</c:v>
                </c:pt>
                <c:pt idx="33">
                  <c:v>Soporte Remoto/Presencial</c:v>
                </c:pt>
                <c:pt idx="34">
                  <c:v>Soporte Caida de datos TIGO</c:v>
                </c:pt>
                <c:pt idx="35">
                  <c:v>Soporte de Hardware Filial</c:v>
                </c:pt>
                <c:pt idx="36">
                  <c:v>Solicitud de base de datos </c:v>
                </c:pt>
                <c:pt idx="37">
                  <c:v>Usuarios y Permisos</c:v>
                </c:pt>
                <c:pt idx="38">
                  <c:v>Otorgar/Quitar permisos a usuario</c:v>
                </c:pt>
              </c:strCache>
            </c:strRef>
          </c:cat>
          <c:val>
            <c:numRef>
              <c:f>ESTADISTICAS!$C$6:$C$44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00-480B-B225-E7D1E8DFA4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68939199"/>
        <c:axId val="1268934399"/>
      </c:barChart>
      <c:catAx>
        <c:axId val="126893919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Procesos</a:t>
                </a:r>
                <a:endParaRPr lang="es-ES" baseline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68934399"/>
        <c:crosses val="autoZero"/>
        <c:auto val="1"/>
        <c:lblAlgn val="ctr"/>
        <c:lblOffset val="100"/>
        <c:noMultiLvlLbl val="0"/>
      </c:catAx>
      <c:valAx>
        <c:axId val="12689343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1000" b="0" i="0" u="none" strike="noStrike" baseline="0">
                    <a:effectLst/>
                  </a:rPr>
                  <a:t>Procesos más recurrentes </a:t>
                </a:r>
                <a:endParaRPr lang="es-ES"/>
              </a:p>
            </c:rich>
          </c:tx>
          <c:layout>
            <c:manualLayout>
              <c:xMode val="edge"/>
              <c:yMode val="edge"/>
              <c:x val="0.58239732555791879"/>
              <c:y val="0.897386058423260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689391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050" b="0" i="0" u="none" strike="noStrike" cap="all" normalizeH="0" baseline="0">
                <a:effectLst/>
              </a:rPr>
              <a:t>Soporte técnico por filial DEL MES DE [MES]</a:t>
            </a:r>
            <a:endParaRPr lang="es-ES" sz="105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ESTADISTICAS!$H$5</c:f>
              <c:strCache>
                <c:ptCount val="1"/>
                <c:pt idx="0">
                  <c:v>Tota/Filial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6"/>
                </a:solidFill>
                <a:prstDash val="sysDash"/>
              </a:ln>
              <a:effectLst/>
            </c:spPr>
            <c:trendlineType val="linear"/>
            <c:dispRSqr val="0"/>
            <c:dispEq val="0"/>
          </c:trendline>
          <c:cat>
            <c:strRef>
              <c:f>ESTADISTICAS!$E$6:$E$14</c:f>
              <c:strCache>
                <c:ptCount val="9"/>
                <c:pt idx="0">
                  <c:v>Oficina Principal</c:v>
                </c:pt>
                <c:pt idx="1">
                  <c:v>Lago de Yojoa</c:v>
                </c:pt>
                <c:pt idx="2">
                  <c:v>San Pedro Sula</c:v>
                </c:pt>
                <c:pt idx="3">
                  <c:v>Centro Histórico</c:v>
                </c:pt>
                <c:pt idx="4">
                  <c:v>Mall Premiere</c:v>
                </c:pt>
                <c:pt idx="5">
                  <c:v>San José Comayagua</c:v>
                </c:pt>
                <c:pt idx="6">
                  <c:v>Zonal Belén</c:v>
                </c:pt>
                <c:pt idx="7">
                  <c:v>Comayagua</c:v>
                </c:pt>
                <c:pt idx="8">
                  <c:v>Santa Cruz de Yojoa</c:v>
                </c:pt>
              </c:strCache>
            </c:strRef>
          </c:cat>
          <c:val>
            <c:numRef>
              <c:f>ESTADISTICAS!$H$6:$H$14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C7-489F-84FC-9515D3945E9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upDownBars>
          <c:gapWidth val="219"/>
          <c:upBars>
            <c:spPr>
              <a:solidFill>
                <a:schemeClr val="lt1"/>
              </a:solidFill>
              <a:ln w="9525">
                <a:solidFill>
                  <a:schemeClr val="tx1">
                    <a:lumMod val="65000"/>
                    <a:lumOff val="35000"/>
                  </a:schemeClr>
                </a:solidFill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>
                <a:solidFill>
                  <a:schemeClr val="tx1">
                    <a:lumMod val="15000"/>
                    <a:lumOff val="85000"/>
                  </a:schemeClr>
                </a:solidFill>
              </a:ln>
              <a:effectLst/>
            </c:spPr>
          </c:downBars>
        </c:upDownBars>
        <c:marker val="1"/>
        <c:smooth val="0"/>
        <c:axId val="1310119919"/>
        <c:axId val="1310122799"/>
      </c:lineChart>
      <c:catAx>
        <c:axId val="13101199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Título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10122799"/>
        <c:crosses val="autoZero"/>
        <c:auto val="1"/>
        <c:lblAlgn val="ctr"/>
        <c:lblOffset val="100"/>
        <c:noMultiLvlLbl val="0"/>
      </c:catAx>
      <c:valAx>
        <c:axId val="131012279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900" b="0" i="0" u="none" strike="noStrike" cap="all" baseline="0">
                    <a:effectLst/>
                  </a:rPr>
                  <a:t>Incidencias</a:t>
                </a:r>
                <a:endParaRPr lang="es-ES"/>
              </a:p>
            </c:rich>
          </c:tx>
          <c:layout>
            <c:manualLayout>
              <c:xMode val="edge"/>
              <c:yMode val="edge"/>
              <c:x val="5.1894249559679625E-2"/>
              <c:y val="0.317523723741329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10119919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1</xdr:row>
      <xdr:rowOff>57150</xdr:rowOff>
    </xdr:from>
    <xdr:to>
      <xdr:col>3</xdr:col>
      <xdr:colOff>28575</xdr:colOff>
      <xdr:row>4</xdr:row>
      <xdr:rowOff>104658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CD43ECE-01DE-9473-2CE2-478DC5137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" y="247650"/>
          <a:ext cx="2628900" cy="619008"/>
        </a:xfrm>
        <a:prstGeom prst="rect">
          <a:avLst/>
        </a:prstGeom>
      </xdr:spPr>
    </xdr:pic>
    <xdr:clientData/>
  </xdr:twoCellAnchor>
  <xdr:twoCellAnchor editAs="oneCell">
    <xdr:from>
      <xdr:col>0</xdr:col>
      <xdr:colOff>180975</xdr:colOff>
      <xdr:row>49</xdr:row>
      <xdr:rowOff>66675</xdr:rowOff>
    </xdr:from>
    <xdr:to>
      <xdr:col>8</xdr:col>
      <xdr:colOff>1675386</xdr:colOff>
      <xdr:row>75</xdr:row>
      <xdr:rowOff>37484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AB039CDF-1FF0-87CA-6C41-A94EE1CBF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10072066"/>
          <a:ext cx="8112215" cy="4923809"/>
        </a:xfrm>
        <a:prstGeom prst="rect">
          <a:avLst/>
        </a:prstGeom>
      </xdr:spPr>
    </xdr:pic>
    <xdr:clientData/>
  </xdr:twoCellAnchor>
  <xdr:oneCellAnchor>
    <xdr:from>
      <xdr:col>1</xdr:col>
      <xdr:colOff>0</xdr:colOff>
      <xdr:row>47</xdr:row>
      <xdr:rowOff>171450</xdr:rowOff>
    </xdr:from>
    <xdr:ext cx="3439981" cy="264560"/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223C04C2-FEB3-AAAA-ED4E-3051B83FA949}"/>
            </a:ext>
          </a:extLst>
        </xdr:cNvPr>
        <xdr:cNvSpPr txBox="1"/>
      </xdr:nvSpPr>
      <xdr:spPr>
        <a:xfrm>
          <a:off x="190500" y="9791700"/>
          <a:ext cx="3439981" cy="264560"/>
        </a:xfrm>
        <a:prstGeom prst="rect">
          <a:avLst/>
        </a:prstGeom>
        <a:solidFill>
          <a:schemeClr val="accent6">
            <a:lumMod val="5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ES" sz="1100">
              <a:solidFill>
                <a:schemeClr val="bg1"/>
              </a:solidFill>
            </a:rPr>
            <a:t>BOTON DE REGISTRO DATOS CONTROL ENTRADA/SALIDA</a:t>
          </a:r>
        </a:p>
      </xdr:txBody>
    </xdr:sp>
    <xdr:clientData/>
  </xdr:oneCellAnchor>
  <xdr:twoCellAnchor>
    <xdr:from>
      <xdr:col>2</xdr:col>
      <xdr:colOff>571500</xdr:colOff>
      <xdr:row>53</xdr:row>
      <xdr:rowOff>137013</xdr:rowOff>
    </xdr:from>
    <xdr:to>
      <xdr:col>5</xdr:col>
      <xdr:colOff>329712</xdr:colOff>
      <xdr:row>55</xdr:row>
      <xdr:rowOff>73269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19CA7BDF-8904-9E58-E592-3AD6A032D722}"/>
            </a:ext>
          </a:extLst>
        </xdr:cNvPr>
        <xdr:cNvSpPr/>
      </xdr:nvSpPr>
      <xdr:spPr>
        <a:xfrm>
          <a:off x="2601058" y="10907590"/>
          <a:ext cx="2066192" cy="317256"/>
        </a:xfrm>
        <a:prstGeom prst="rect">
          <a:avLst/>
        </a:prstGeom>
        <a:noFill/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613997</xdr:colOff>
      <xdr:row>66</xdr:row>
      <xdr:rowOff>98911</xdr:rowOff>
    </xdr:from>
    <xdr:to>
      <xdr:col>5</xdr:col>
      <xdr:colOff>402981</xdr:colOff>
      <xdr:row>74</xdr:row>
      <xdr:rowOff>102576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5EB95847-1D70-4193-8EED-DF5C4C65D1CD}"/>
            </a:ext>
          </a:extLst>
        </xdr:cNvPr>
        <xdr:cNvSpPr/>
      </xdr:nvSpPr>
      <xdr:spPr>
        <a:xfrm>
          <a:off x="4189535" y="13345988"/>
          <a:ext cx="550984" cy="1527665"/>
        </a:xfrm>
        <a:prstGeom prst="rect">
          <a:avLst/>
        </a:prstGeom>
        <a:noFill/>
        <a:ln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422659</xdr:colOff>
      <xdr:row>71</xdr:row>
      <xdr:rowOff>179870</xdr:rowOff>
    </xdr:from>
    <xdr:to>
      <xdr:col>6</xdr:col>
      <xdr:colOff>758366</xdr:colOff>
      <xdr:row>72</xdr:row>
      <xdr:rowOff>119641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62773CBF-87F6-4B49-6950-42CA5C057818}"/>
            </a:ext>
          </a:extLst>
        </xdr:cNvPr>
        <xdr:cNvSpPr/>
      </xdr:nvSpPr>
      <xdr:spPr>
        <a:xfrm>
          <a:off x="5520176" y="14368836"/>
          <a:ext cx="335707" cy="130271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6</xdr:col>
      <xdr:colOff>713744</xdr:colOff>
      <xdr:row>72</xdr:row>
      <xdr:rowOff>134336</xdr:rowOff>
    </xdr:from>
    <xdr:ext cx="2698691" cy="264560"/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8769D971-892F-DB42-9362-E5755754588E}"/>
            </a:ext>
          </a:extLst>
        </xdr:cNvPr>
        <xdr:cNvSpPr txBox="1"/>
      </xdr:nvSpPr>
      <xdr:spPr>
        <a:xfrm>
          <a:off x="5807548" y="14521227"/>
          <a:ext cx="269869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ES" sz="1100"/>
            <a:t>Celdas</a:t>
          </a:r>
          <a:r>
            <a:rPr lang="es-ES" sz="1100" baseline="0"/>
            <a:t> que contienen los datos para registrar</a:t>
          </a:r>
          <a:endParaRPr lang="es-ES" sz="1100"/>
        </a:p>
      </xdr:txBody>
    </xdr:sp>
    <xdr:clientData/>
  </xdr:oneCellAnchor>
  <xdr:twoCellAnchor>
    <xdr:from>
      <xdr:col>6</xdr:col>
      <xdr:colOff>425972</xdr:colOff>
      <xdr:row>70</xdr:row>
      <xdr:rowOff>154622</xdr:rowOff>
    </xdr:from>
    <xdr:to>
      <xdr:col>6</xdr:col>
      <xdr:colOff>761679</xdr:colOff>
      <xdr:row>71</xdr:row>
      <xdr:rowOff>94393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87D3D2F9-EDC8-4302-A3B9-28661E27402A}"/>
            </a:ext>
          </a:extLst>
        </xdr:cNvPr>
        <xdr:cNvSpPr/>
      </xdr:nvSpPr>
      <xdr:spPr>
        <a:xfrm>
          <a:off x="5523489" y="14153088"/>
          <a:ext cx="335707" cy="130271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6</xdr:col>
      <xdr:colOff>714227</xdr:colOff>
      <xdr:row>71</xdr:row>
      <xdr:rowOff>114517</xdr:rowOff>
    </xdr:from>
    <xdr:ext cx="2686783" cy="264560"/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D08C8187-00F1-443E-B00D-0B4A7A156009}"/>
            </a:ext>
          </a:extLst>
        </xdr:cNvPr>
        <xdr:cNvSpPr txBox="1"/>
      </xdr:nvSpPr>
      <xdr:spPr>
        <a:xfrm>
          <a:off x="5808031" y="14310908"/>
          <a:ext cx="268678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ES" sz="1100"/>
            <a:t>Columnas</a:t>
          </a:r>
          <a:r>
            <a:rPr lang="es-ES" sz="1100" baseline="0"/>
            <a:t> en que se almacenan los datos</a:t>
          </a:r>
          <a:endParaRPr lang="es-ES" sz="1100"/>
        </a:p>
      </xdr:txBody>
    </xdr:sp>
    <xdr:clientData/>
  </xdr:oneCellAnchor>
  <xdr:twoCellAnchor>
    <xdr:from>
      <xdr:col>6</xdr:col>
      <xdr:colOff>423973</xdr:colOff>
      <xdr:row>73</xdr:row>
      <xdr:rowOff>16960</xdr:rowOff>
    </xdr:from>
    <xdr:to>
      <xdr:col>6</xdr:col>
      <xdr:colOff>759680</xdr:colOff>
      <xdr:row>73</xdr:row>
      <xdr:rowOff>147231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E39B6B97-CCBB-40D2-926B-A7FD1380EDA4}"/>
            </a:ext>
          </a:extLst>
        </xdr:cNvPr>
        <xdr:cNvSpPr/>
      </xdr:nvSpPr>
      <xdr:spPr>
        <a:xfrm>
          <a:off x="5521490" y="14586926"/>
          <a:ext cx="335707" cy="130271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6</xdr:col>
      <xdr:colOff>712574</xdr:colOff>
      <xdr:row>70</xdr:row>
      <xdr:rowOff>94410</xdr:rowOff>
    </xdr:from>
    <xdr:ext cx="2046391" cy="264560"/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E06B37D5-3C87-4B14-A2DD-70AC2B95DD00}"/>
            </a:ext>
          </a:extLst>
        </xdr:cNvPr>
        <xdr:cNvSpPr txBox="1"/>
      </xdr:nvSpPr>
      <xdr:spPr>
        <a:xfrm>
          <a:off x="5810091" y="14092876"/>
          <a:ext cx="204639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ES" sz="1100"/>
            <a:t>Paginas</a:t>
          </a:r>
          <a:r>
            <a:rPr lang="es-ES" sz="1100" baseline="0"/>
            <a:t> con las que se trabajara</a:t>
          </a:r>
          <a:endParaRPr lang="es-ES" sz="1100"/>
        </a:p>
      </xdr:txBody>
    </xdr:sp>
    <xdr:clientData/>
  </xdr:oneCellAnchor>
  <xdr:twoCellAnchor>
    <xdr:from>
      <xdr:col>3</xdr:col>
      <xdr:colOff>637190</xdr:colOff>
      <xdr:row>56</xdr:row>
      <xdr:rowOff>173900</xdr:rowOff>
    </xdr:from>
    <xdr:to>
      <xdr:col>4</xdr:col>
      <xdr:colOff>249622</xdr:colOff>
      <xdr:row>65</xdr:row>
      <xdr:rowOff>0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3CAE3478-E3BE-4708-BACB-C8F5092BA4D9}"/>
            </a:ext>
          </a:extLst>
        </xdr:cNvPr>
        <xdr:cNvSpPr/>
      </xdr:nvSpPr>
      <xdr:spPr>
        <a:xfrm>
          <a:off x="3448707" y="11505366"/>
          <a:ext cx="374432" cy="1540600"/>
        </a:xfrm>
        <a:prstGeom prst="rect">
          <a:avLst/>
        </a:prstGeom>
        <a:noFill/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0</xdr:col>
      <xdr:colOff>173935</xdr:colOff>
      <xdr:row>74</xdr:row>
      <xdr:rowOff>173935</xdr:rowOff>
    </xdr:from>
    <xdr:to>
      <xdr:col>7</xdr:col>
      <xdr:colOff>384798</xdr:colOff>
      <xdr:row>83</xdr:row>
      <xdr:rowOff>164197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F721F7FF-CA83-7A3F-23BD-7569084DA1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3935" y="14941826"/>
          <a:ext cx="6066667" cy="1704762"/>
        </a:xfrm>
        <a:prstGeom prst="rect">
          <a:avLst/>
        </a:prstGeom>
      </xdr:spPr>
    </xdr:pic>
    <xdr:clientData/>
  </xdr:twoCellAnchor>
  <xdr:twoCellAnchor>
    <xdr:from>
      <xdr:col>1</xdr:col>
      <xdr:colOff>73078</xdr:colOff>
      <xdr:row>75</xdr:row>
      <xdr:rowOff>44120</xdr:rowOff>
    </xdr:from>
    <xdr:to>
      <xdr:col>6</xdr:col>
      <xdr:colOff>405848</xdr:colOff>
      <xdr:row>78</xdr:row>
      <xdr:rowOff>33132</xdr:rowOff>
    </xdr:to>
    <xdr:sp macro="" textlink="">
      <xdr:nvSpPr>
        <xdr:cNvPr id="16" name="Rectángulo 15">
          <a:extLst>
            <a:ext uri="{FF2B5EF4-FFF2-40B4-BE49-F238E27FC236}">
              <a16:creationId xmlns:a16="http://schemas.microsoft.com/office/drawing/2014/main" id="{6E95D615-EE04-4FC7-83DD-170C89A45945}"/>
            </a:ext>
          </a:extLst>
        </xdr:cNvPr>
        <xdr:cNvSpPr/>
      </xdr:nvSpPr>
      <xdr:spPr>
        <a:xfrm>
          <a:off x="263578" y="15002511"/>
          <a:ext cx="5236074" cy="560512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68108</xdr:colOff>
      <xdr:row>78</xdr:row>
      <xdr:rowOff>97128</xdr:rowOff>
    </xdr:from>
    <xdr:to>
      <xdr:col>3</xdr:col>
      <xdr:colOff>372718</xdr:colOff>
      <xdr:row>83</xdr:row>
      <xdr:rowOff>132521</xdr:rowOff>
    </xdr:to>
    <xdr:sp macro="" textlink="">
      <xdr:nvSpPr>
        <xdr:cNvPr id="17" name="Rectángulo 16">
          <a:extLst>
            <a:ext uri="{FF2B5EF4-FFF2-40B4-BE49-F238E27FC236}">
              <a16:creationId xmlns:a16="http://schemas.microsoft.com/office/drawing/2014/main" id="{4F67138B-00F6-47FA-A8A9-2DCF244CCB68}"/>
            </a:ext>
          </a:extLst>
        </xdr:cNvPr>
        <xdr:cNvSpPr/>
      </xdr:nvSpPr>
      <xdr:spPr>
        <a:xfrm>
          <a:off x="258608" y="15627019"/>
          <a:ext cx="2921914" cy="987893"/>
        </a:xfrm>
        <a:prstGeom prst="rect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21838</xdr:colOff>
      <xdr:row>79</xdr:row>
      <xdr:rowOff>42666</xdr:rowOff>
    </xdr:from>
    <xdr:to>
      <xdr:col>5</xdr:col>
      <xdr:colOff>357545</xdr:colOff>
      <xdr:row>79</xdr:row>
      <xdr:rowOff>172937</xdr:rowOff>
    </xdr:to>
    <xdr:sp macro="" textlink="">
      <xdr:nvSpPr>
        <xdr:cNvPr id="18" name="Rectángulo 17">
          <a:extLst>
            <a:ext uri="{FF2B5EF4-FFF2-40B4-BE49-F238E27FC236}">
              <a16:creationId xmlns:a16="http://schemas.microsoft.com/office/drawing/2014/main" id="{B502757B-7C78-4106-8666-EFEC0C36D7A3}"/>
            </a:ext>
          </a:extLst>
        </xdr:cNvPr>
        <xdr:cNvSpPr/>
      </xdr:nvSpPr>
      <xdr:spPr>
        <a:xfrm>
          <a:off x="4353642" y="15763057"/>
          <a:ext cx="335707" cy="130271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25151</xdr:colOff>
      <xdr:row>80</xdr:row>
      <xdr:rowOff>29414</xdr:rowOff>
    </xdr:from>
    <xdr:to>
      <xdr:col>5</xdr:col>
      <xdr:colOff>360858</xdr:colOff>
      <xdr:row>80</xdr:row>
      <xdr:rowOff>159685</xdr:rowOff>
    </xdr:to>
    <xdr:sp macro="" textlink="">
      <xdr:nvSpPr>
        <xdr:cNvPr id="19" name="Rectángulo 18">
          <a:extLst>
            <a:ext uri="{FF2B5EF4-FFF2-40B4-BE49-F238E27FC236}">
              <a16:creationId xmlns:a16="http://schemas.microsoft.com/office/drawing/2014/main" id="{8E7A3464-9EB6-49B2-B3D4-532B191D1B2C}"/>
            </a:ext>
          </a:extLst>
        </xdr:cNvPr>
        <xdr:cNvSpPr/>
      </xdr:nvSpPr>
      <xdr:spPr>
        <a:xfrm>
          <a:off x="4356955" y="15940305"/>
          <a:ext cx="335707" cy="130271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5</xdr:col>
      <xdr:colOff>285592</xdr:colOff>
      <xdr:row>78</xdr:row>
      <xdr:rowOff>161530</xdr:rowOff>
    </xdr:from>
    <xdr:ext cx="4261561" cy="264560"/>
    <xdr:sp macro="" textlink="">
      <xdr:nvSpPr>
        <xdr:cNvPr id="20" name="CuadroTexto 19">
          <a:extLst>
            <a:ext uri="{FF2B5EF4-FFF2-40B4-BE49-F238E27FC236}">
              <a16:creationId xmlns:a16="http://schemas.microsoft.com/office/drawing/2014/main" id="{A8BEE1F9-0913-44A9-A4F2-D895A3756EA3}"/>
            </a:ext>
          </a:extLst>
        </xdr:cNvPr>
        <xdr:cNvSpPr txBox="1"/>
      </xdr:nvSpPr>
      <xdr:spPr>
        <a:xfrm>
          <a:off x="4617396" y="15691421"/>
          <a:ext cx="426156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ES" sz="1100"/>
            <a:t>Incrementa</a:t>
          </a:r>
          <a:r>
            <a:rPr lang="es-ES" sz="1100" baseline="0"/>
            <a:t> el valor del registro para el control de documentos fisicos</a:t>
          </a:r>
        </a:p>
      </xdr:txBody>
    </xdr:sp>
    <xdr:clientData/>
  </xdr:oneCellAnchor>
  <xdr:oneCellAnchor>
    <xdr:from>
      <xdr:col>5</xdr:col>
      <xdr:colOff>288903</xdr:colOff>
      <xdr:row>79</xdr:row>
      <xdr:rowOff>164843</xdr:rowOff>
    </xdr:from>
    <xdr:ext cx="4261561" cy="264560"/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411A8D99-319A-4F64-9DAC-642E68D18CA0}"/>
            </a:ext>
          </a:extLst>
        </xdr:cNvPr>
        <xdr:cNvSpPr txBox="1"/>
      </xdr:nvSpPr>
      <xdr:spPr>
        <a:xfrm>
          <a:off x="4620707" y="15885234"/>
          <a:ext cx="426156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ES" sz="1100" baseline="0"/>
            <a:t>Limpia el contenido de las celdas del formulario Entrada/Salida</a:t>
          </a:r>
        </a:p>
      </xdr:txBody>
    </xdr:sp>
    <xdr:clientData/>
  </xdr:oneCellAnchor>
  <xdr:oneCellAnchor>
    <xdr:from>
      <xdr:col>0</xdr:col>
      <xdr:colOff>182218</xdr:colOff>
      <xdr:row>84</xdr:row>
      <xdr:rowOff>165652</xdr:rowOff>
    </xdr:from>
    <xdr:ext cx="2949397" cy="264560"/>
    <xdr:sp macro="" textlink="">
      <xdr:nvSpPr>
        <xdr:cNvPr id="22" name="CuadroTexto 21">
          <a:extLst>
            <a:ext uri="{FF2B5EF4-FFF2-40B4-BE49-F238E27FC236}">
              <a16:creationId xmlns:a16="http://schemas.microsoft.com/office/drawing/2014/main" id="{9A7E94F6-1621-41E9-B425-611CA65AF368}"/>
            </a:ext>
          </a:extLst>
        </xdr:cNvPr>
        <xdr:cNvSpPr txBox="1"/>
      </xdr:nvSpPr>
      <xdr:spPr>
        <a:xfrm>
          <a:off x="182218" y="16841729"/>
          <a:ext cx="2949397" cy="264560"/>
        </a:xfrm>
        <a:prstGeom prst="rect">
          <a:avLst/>
        </a:prstGeom>
        <a:solidFill>
          <a:schemeClr val="accent6">
            <a:lumMod val="5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ES" sz="1100">
              <a:solidFill>
                <a:schemeClr val="bg1"/>
              </a:solidFill>
            </a:rPr>
            <a:t>BOTON DE REGISTRO DATOS SOPORTE TECNICO</a:t>
          </a:r>
        </a:p>
      </xdr:txBody>
    </xdr:sp>
    <xdr:clientData/>
  </xdr:oneCellAnchor>
  <xdr:twoCellAnchor editAs="oneCell">
    <xdr:from>
      <xdr:col>0</xdr:col>
      <xdr:colOff>140805</xdr:colOff>
      <xdr:row>86</xdr:row>
      <xdr:rowOff>107674</xdr:rowOff>
    </xdr:from>
    <xdr:to>
      <xdr:col>8</xdr:col>
      <xdr:colOff>2961096</xdr:colOff>
      <xdr:row>112</xdr:row>
      <xdr:rowOff>107055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94A93791-E99E-17AE-EB85-C0C20D6381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0805" y="17161565"/>
          <a:ext cx="9438095" cy="4952381"/>
        </a:xfrm>
        <a:prstGeom prst="rect">
          <a:avLst/>
        </a:prstGeom>
      </xdr:spPr>
    </xdr:pic>
    <xdr:clientData/>
  </xdr:twoCellAnchor>
  <xdr:twoCellAnchor>
    <xdr:from>
      <xdr:col>3</xdr:col>
      <xdr:colOff>115960</xdr:colOff>
      <xdr:row>91</xdr:row>
      <xdr:rowOff>82827</xdr:rowOff>
    </xdr:from>
    <xdr:to>
      <xdr:col>5</xdr:col>
      <xdr:colOff>49698</xdr:colOff>
      <xdr:row>93</xdr:row>
      <xdr:rowOff>19083</xdr:rowOff>
    </xdr:to>
    <xdr:sp macro="" textlink="">
      <xdr:nvSpPr>
        <xdr:cNvPr id="25" name="Rectángulo 24">
          <a:extLst>
            <a:ext uri="{FF2B5EF4-FFF2-40B4-BE49-F238E27FC236}">
              <a16:creationId xmlns:a16="http://schemas.microsoft.com/office/drawing/2014/main" id="{9CD0F18A-64BD-4D0B-B0EF-6B80A525320F}"/>
            </a:ext>
          </a:extLst>
        </xdr:cNvPr>
        <xdr:cNvSpPr/>
      </xdr:nvSpPr>
      <xdr:spPr>
        <a:xfrm>
          <a:off x="2923764" y="18089218"/>
          <a:ext cx="1457738" cy="317256"/>
        </a:xfrm>
        <a:prstGeom prst="rect">
          <a:avLst/>
        </a:prstGeom>
        <a:noFill/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182219</xdr:colOff>
      <xdr:row>94</xdr:row>
      <xdr:rowOff>132522</xdr:rowOff>
    </xdr:from>
    <xdr:to>
      <xdr:col>4</xdr:col>
      <xdr:colOff>556651</xdr:colOff>
      <xdr:row>102</xdr:row>
      <xdr:rowOff>149122</xdr:rowOff>
    </xdr:to>
    <xdr:sp macro="" textlink="">
      <xdr:nvSpPr>
        <xdr:cNvPr id="26" name="Rectángulo 25">
          <a:extLst>
            <a:ext uri="{FF2B5EF4-FFF2-40B4-BE49-F238E27FC236}">
              <a16:creationId xmlns:a16="http://schemas.microsoft.com/office/drawing/2014/main" id="{FCFEA261-2015-499D-995C-8B560E428081}"/>
            </a:ext>
          </a:extLst>
        </xdr:cNvPr>
        <xdr:cNvSpPr/>
      </xdr:nvSpPr>
      <xdr:spPr>
        <a:xfrm>
          <a:off x="3752023" y="18710413"/>
          <a:ext cx="374432" cy="1540600"/>
        </a:xfrm>
        <a:prstGeom prst="rect">
          <a:avLst/>
        </a:prstGeom>
        <a:noFill/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165653</xdr:colOff>
      <xdr:row>104</xdr:row>
      <xdr:rowOff>57980</xdr:rowOff>
    </xdr:from>
    <xdr:to>
      <xdr:col>5</xdr:col>
      <xdr:colOff>716637</xdr:colOff>
      <xdr:row>112</xdr:row>
      <xdr:rowOff>61645</xdr:rowOff>
    </xdr:to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id="{4665255B-28DE-4A86-A0F8-E0DA77FAEC3D}"/>
            </a:ext>
          </a:extLst>
        </xdr:cNvPr>
        <xdr:cNvSpPr/>
      </xdr:nvSpPr>
      <xdr:spPr>
        <a:xfrm>
          <a:off x="4497457" y="20540871"/>
          <a:ext cx="550984" cy="1527665"/>
        </a:xfrm>
        <a:prstGeom prst="rect">
          <a:avLst/>
        </a:prstGeom>
        <a:noFill/>
        <a:ln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563218</xdr:colOff>
      <xdr:row>108</xdr:row>
      <xdr:rowOff>77177</xdr:rowOff>
    </xdr:from>
    <xdr:to>
      <xdr:col>8</xdr:col>
      <xdr:colOff>136925</xdr:colOff>
      <xdr:row>109</xdr:row>
      <xdr:rowOff>16948</xdr:rowOff>
    </xdr:to>
    <xdr:sp macro="" textlink="">
      <xdr:nvSpPr>
        <xdr:cNvPr id="28" name="Rectángulo 27">
          <a:extLst>
            <a:ext uri="{FF2B5EF4-FFF2-40B4-BE49-F238E27FC236}">
              <a16:creationId xmlns:a16="http://schemas.microsoft.com/office/drawing/2014/main" id="{0451ECCF-CEA0-49A2-9398-C12A81A8C7EC}"/>
            </a:ext>
          </a:extLst>
        </xdr:cNvPr>
        <xdr:cNvSpPr/>
      </xdr:nvSpPr>
      <xdr:spPr>
        <a:xfrm>
          <a:off x="6419022" y="21322068"/>
          <a:ext cx="335707" cy="130271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8</xdr:col>
      <xdr:colOff>92303</xdr:colOff>
      <xdr:row>109</xdr:row>
      <xdr:rowOff>31643</xdr:rowOff>
    </xdr:from>
    <xdr:ext cx="2698691" cy="264560"/>
    <xdr:sp macro="" textlink="">
      <xdr:nvSpPr>
        <xdr:cNvPr id="29" name="CuadroTexto 28">
          <a:extLst>
            <a:ext uri="{FF2B5EF4-FFF2-40B4-BE49-F238E27FC236}">
              <a16:creationId xmlns:a16="http://schemas.microsoft.com/office/drawing/2014/main" id="{DE92DE93-62FB-4F12-AEA3-C4600BA21FEA}"/>
            </a:ext>
          </a:extLst>
        </xdr:cNvPr>
        <xdr:cNvSpPr txBox="1"/>
      </xdr:nvSpPr>
      <xdr:spPr>
        <a:xfrm>
          <a:off x="6710107" y="21467034"/>
          <a:ext cx="269869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ES" sz="1100"/>
            <a:t>Celdas</a:t>
          </a:r>
          <a:r>
            <a:rPr lang="es-ES" sz="1100" baseline="0"/>
            <a:t> que contienen los datos para registrar</a:t>
          </a:r>
          <a:endParaRPr lang="es-ES" sz="1100"/>
        </a:p>
      </xdr:txBody>
    </xdr:sp>
    <xdr:clientData/>
  </xdr:oneCellAnchor>
  <xdr:twoCellAnchor>
    <xdr:from>
      <xdr:col>7</xdr:col>
      <xdr:colOff>566531</xdr:colOff>
      <xdr:row>107</xdr:row>
      <xdr:rowOff>51929</xdr:rowOff>
    </xdr:from>
    <xdr:to>
      <xdr:col>8</xdr:col>
      <xdr:colOff>140238</xdr:colOff>
      <xdr:row>107</xdr:row>
      <xdr:rowOff>182200</xdr:rowOff>
    </xdr:to>
    <xdr:sp macro="" textlink="">
      <xdr:nvSpPr>
        <xdr:cNvPr id="30" name="Rectángulo 29">
          <a:extLst>
            <a:ext uri="{FF2B5EF4-FFF2-40B4-BE49-F238E27FC236}">
              <a16:creationId xmlns:a16="http://schemas.microsoft.com/office/drawing/2014/main" id="{E9BBCF19-D086-4817-96B7-BD281571D814}"/>
            </a:ext>
          </a:extLst>
        </xdr:cNvPr>
        <xdr:cNvSpPr/>
      </xdr:nvSpPr>
      <xdr:spPr>
        <a:xfrm>
          <a:off x="6422335" y="21106320"/>
          <a:ext cx="335707" cy="130271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8</xdr:col>
      <xdr:colOff>92786</xdr:colOff>
      <xdr:row>108</xdr:row>
      <xdr:rowOff>11824</xdr:rowOff>
    </xdr:from>
    <xdr:ext cx="2686783" cy="264560"/>
    <xdr:sp macro="" textlink="">
      <xdr:nvSpPr>
        <xdr:cNvPr id="31" name="CuadroTexto 30">
          <a:extLst>
            <a:ext uri="{FF2B5EF4-FFF2-40B4-BE49-F238E27FC236}">
              <a16:creationId xmlns:a16="http://schemas.microsoft.com/office/drawing/2014/main" id="{43F04354-7F0F-4705-A121-3787909F1D5B}"/>
            </a:ext>
          </a:extLst>
        </xdr:cNvPr>
        <xdr:cNvSpPr txBox="1"/>
      </xdr:nvSpPr>
      <xdr:spPr>
        <a:xfrm>
          <a:off x="6710590" y="21256715"/>
          <a:ext cx="268678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ES" sz="1100"/>
            <a:t>Columnas</a:t>
          </a:r>
          <a:r>
            <a:rPr lang="es-ES" sz="1100" baseline="0"/>
            <a:t> en que se almacenan los datos</a:t>
          </a:r>
          <a:endParaRPr lang="es-ES" sz="1100"/>
        </a:p>
      </xdr:txBody>
    </xdr:sp>
    <xdr:clientData/>
  </xdr:oneCellAnchor>
  <xdr:twoCellAnchor>
    <xdr:from>
      <xdr:col>7</xdr:col>
      <xdr:colOff>564532</xdr:colOff>
      <xdr:row>109</xdr:row>
      <xdr:rowOff>104767</xdr:rowOff>
    </xdr:from>
    <xdr:to>
      <xdr:col>8</xdr:col>
      <xdr:colOff>138239</xdr:colOff>
      <xdr:row>110</xdr:row>
      <xdr:rowOff>44538</xdr:rowOff>
    </xdr:to>
    <xdr:sp macro="" textlink="">
      <xdr:nvSpPr>
        <xdr:cNvPr id="32" name="Rectángulo 31">
          <a:extLst>
            <a:ext uri="{FF2B5EF4-FFF2-40B4-BE49-F238E27FC236}">
              <a16:creationId xmlns:a16="http://schemas.microsoft.com/office/drawing/2014/main" id="{BFDB7338-CCA6-4D5E-85C2-1E1D360B391D}"/>
            </a:ext>
          </a:extLst>
        </xdr:cNvPr>
        <xdr:cNvSpPr/>
      </xdr:nvSpPr>
      <xdr:spPr>
        <a:xfrm>
          <a:off x="6420336" y="21540158"/>
          <a:ext cx="335707" cy="130271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8</xdr:col>
      <xdr:colOff>91133</xdr:colOff>
      <xdr:row>106</xdr:row>
      <xdr:rowOff>182217</xdr:rowOff>
    </xdr:from>
    <xdr:ext cx="2046391" cy="264560"/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5F7E8CFC-54A8-4D38-8AE9-7B4C7049D384}"/>
            </a:ext>
          </a:extLst>
        </xdr:cNvPr>
        <xdr:cNvSpPr txBox="1"/>
      </xdr:nvSpPr>
      <xdr:spPr>
        <a:xfrm>
          <a:off x="6708937" y="21046108"/>
          <a:ext cx="204639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ES" sz="1100"/>
            <a:t>Paginas</a:t>
          </a:r>
          <a:r>
            <a:rPr lang="es-ES" sz="1100" baseline="0"/>
            <a:t> con las que se trabajara</a:t>
          </a:r>
          <a:endParaRPr lang="es-ES" sz="1100"/>
        </a:p>
      </xdr:txBody>
    </xdr:sp>
    <xdr:clientData/>
  </xdr:oneCellAnchor>
  <xdr:twoCellAnchor editAs="oneCell">
    <xdr:from>
      <xdr:col>1</xdr:col>
      <xdr:colOff>256761</xdr:colOff>
      <xdr:row>113</xdr:row>
      <xdr:rowOff>16565</xdr:rowOff>
    </xdr:from>
    <xdr:to>
      <xdr:col>3</xdr:col>
      <xdr:colOff>696600</xdr:colOff>
      <xdr:row>117</xdr:row>
      <xdr:rowOff>45041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825A1737-C11F-1D80-17D2-BAC6E9CF6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47261" y="22213956"/>
          <a:ext cx="3057143" cy="790476"/>
        </a:xfrm>
        <a:prstGeom prst="rect">
          <a:avLst/>
        </a:prstGeom>
      </xdr:spPr>
    </xdr:pic>
    <xdr:clientData/>
  </xdr:twoCellAnchor>
  <xdr:twoCellAnchor>
    <xdr:from>
      <xdr:col>7</xdr:col>
      <xdr:colOff>557006</xdr:colOff>
      <xdr:row>110</xdr:row>
      <xdr:rowOff>120504</xdr:rowOff>
    </xdr:from>
    <xdr:to>
      <xdr:col>8</xdr:col>
      <xdr:colOff>130713</xdr:colOff>
      <xdr:row>111</xdr:row>
      <xdr:rowOff>60275</xdr:rowOff>
    </xdr:to>
    <xdr:sp macro="" textlink="">
      <xdr:nvSpPr>
        <xdr:cNvPr id="36" name="Rectángulo 35">
          <a:extLst>
            <a:ext uri="{FF2B5EF4-FFF2-40B4-BE49-F238E27FC236}">
              <a16:creationId xmlns:a16="http://schemas.microsoft.com/office/drawing/2014/main" id="{419AEAE9-9977-438A-A56E-91CC08103479}"/>
            </a:ext>
          </a:extLst>
        </xdr:cNvPr>
        <xdr:cNvSpPr/>
      </xdr:nvSpPr>
      <xdr:spPr>
        <a:xfrm>
          <a:off x="6414881" y="21551754"/>
          <a:ext cx="335707" cy="130271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8</xdr:col>
      <xdr:colOff>73412</xdr:colOff>
      <xdr:row>110</xdr:row>
      <xdr:rowOff>43452</xdr:rowOff>
    </xdr:from>
    <xdr:ext cx="4261561" cy="264560"/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11D4BA9D-F297-4AD8-907C-6F39F707C8A5}"/>
            </a:ext>
          </a:extLst>
        </xdr:cNvPr>
        <xdr:cNvSpPr txBox="1"/>
      </xdr:nvSpPr>
      <xdr:spPr>
        <a:xfrm>
          <a:off x="6693287" y="21474702"/>
          <a:ext cx="426156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ES" sz="1100" baseline="0"/>
            <a:t>Limpia el contenido de las celdas del formulario ingreso de soporte</a:t>
          </a:r>
        </a:p>
      </xdr:txBody>
    </xdr:sp>
    <xdr:clientData/>
  </xdr:oneCellAnchor>
  <xdr:twoCellAnchor>
    <xdr:from>
      <xdr:col>1</xdr:col>
      <xdr:colOff>314739</xdr:colOff>
      <xdr:row>113</xdr:row>
      <xdr:rowOff>33131</xdr:rowOff>
    </xdr:from>
    <xdr:to>
      <xdr:col>3</xdr:col>
      <xdr:colOff>521805</xdr:colOff>
      <xdr:row>116</xdr:row>
      <xdr:rowOff>157370</xdr:rowOff>
    </xdr:to>
    <xdr:sp macro="" textlink="">
      <xdr:nvSpPr>
        <xdr:cNvPr id="39" name="Rectángulo 38">
          <a:extLst>
            <a:ext uri="{FF2B5EF4-FFF2-40B4-BE49-F238E27FC236}">
              <a16:creationId xmlns:a16="http://schemas.microsoft.com/office/drawing/2014/main" id="{A6594E80-67C0-4163-AD83-7025F35E96AC}"/>
            </a:ext>
          </a:extLst>
        </xdr:cNvPr>
        <xdr:cNvSpPr/>
      </xdr:nvSpPr>
      <xdr:spPr>
        <a:xfrm>
          <a:off x="505239" y="22230522"/>
          <a:ext cx="2824370" cy="695739"/>
        </a:xfrm>
        <a:prstGeom prst="rect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</xdr:row>
      <xdr:rowOff>19049</xdr:rowOff>
    </xdr:from>
    <xdr:to>
      <xdr:col>2</xdr:col>
      <xdr:colOff>839043</xdr:colOff>
      <xdr:row>4</xdr:row>
      <xdr:rowOff>219074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4312048-DEA0-3D5C-94C3-D5DD2A582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" y="123824"/>
          <a:ext cx="2143968" cy="5048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1</xdr:col>
          <xdr:colOff>1295400</xdr:colOff>
          <xdr:row>17</xdr:row>
          <xdr:rowOff>0</xdr:rowOff>
        </xdr:to>
        <xdr:sp macro="" textlink="">
          <xdr:nvSpPr>
            <xdr:cNvPr id="1031" name="BotonDeRegistrar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314325</xdr:colOff>
      <xdr:row>29</xdr:row>
      <xdr:rowOff>0</xdr:rowOff>
    </xdr:from>
    <xdr:ext cx="2003434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8A4B51AC-9731-42AF-920B-D7320D74A3E6}"/>
            </a:ext>
          </a:extLst>
        </xdr:cNvPr>
        <xdr:cNvSpPr txBox="1"/>
      </xdr:nvSpPr>
      <xdr:spPr>
        <a:xfrm>
          <a:off x="1076325" y="5286375"/>
          <a:ext cx="2003434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s-ES" sz="1100"/>
            <a:t>_______________________________</a:t>
          </a:r>
          <a:br>
            <a:rPr lang="es-ES" sz="1100"/>
          </a:br>
          <a:r>
            <a:rPr lang="es-ES" sz="1100"/>
            <a:t>Firma de quien</a:t>
          </a:r>
          <a:r>
            <a:rPr lang="es-ES" sz="1100" baseline="0"/>
            <a:t> entrega</a:t>
          </a:r>
          <a:endParaRPr lang="es-ES" sz="1100"/>
        </a:p>
      </xdr:txBody>
    </xdr:sp>
    <xdr:clientData/>
  </xdr:oneCellAnchor>
  <xdr:oneCellAnchor>
    <xdr:from>
      <xdr:col>4</xdr:col>
      <xdr:colOff>381000</xdr:colOff>
      <xdr:row>29</xdr:row>
      <xdr:rowOff>0</xdr:rowOff>
    </xdr:from>
    <xdr:ext cx="2003434" cy="436786"/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FA9F825F-36A8-4793-8177-10DB2AD85AFB}"/>
            </a:ext>
          </a:extLst>
        </xdr:cNvPr>
        <xdr:cNvSpPr txBox="1"/>
      </xdr:nvSpPr>
      <xdr:spPr>
        <a:xfrm>
          <a:off x="6038850" y="5286375"/>
          <a:ext cx="2003434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s-E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_______________________________</a:t>
          </a:r>
          <a:br>
            <a:rPr lang="es-E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s-E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Firma de quien</a:t>
          </a:r>
          <a:r>
            <a:rPr lang="es-E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recibe</a:t>
          </a:r>
          <a:endParaRPr lang="es-ES">
            <a:effectLst/>
          </a:endParaRPr>
        </a:p>
      </xdr:txBody>
    </xdr:sp>
    <xdr:clientData/>
  </xdr:oneCellAnchor>
  <xdr:twoCellAnchor editAs="oneCell">
    <xdr:from>
      <xdr:col>1</xdr:col>
      <xdr:colOff>0</xdr:colOff>
      <xdr:row>1</xdr:row>
      <xdr:rowOff>51030</xdr:rowOff>
    </xdr:from>
    <xdr:to>
      <xdr:col>2</xdr:col>
      <xdr:colOff>561975</xdr:colOff>
      <xdr:row>2</xdr:row>
      <xdr:rowOff>275446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E4DB6412-F3EF-48CF-8EC4-63D6D928F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279630"/>
          <a:ext cx="1762125" cy="4149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133350</xdr:rowOff>
        </xdr:from>
        <xdr:to>
          <xdr:col>13</xdr:col>
          <xdr:colOff>0</xdr:colOff>
          <xdr:row>11</xdr:row>
          <xdr:rowOff>133350</xdr:rowOff>
        </xdr:to>
        <xdr:sp macro="" textlink="">
          <xdr:nvSpPr>
            <xdr:cNvPr id="6147" name="CommandButton1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6148" name="CommandButton2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9524</xdr:colOff>
      <xdr:row>2</xdr:row>
      <xdr:rowOff>185736</xdr:rowOff>
    </xdr:from>
    <xdr:to>
      <xdr:col>18</xdr:col>
      <xdr:colOff>11206</xdr:colOff>
      <xdr:row>19</xdr:row>
      <xdr:rowOff>190499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243A748B-A520-388F-2D66-FA890E79C7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16808</xdr:colOff>
      <xdr:row>21</xdr:row>
      <xdr:rowOff>1120</xdr:rowOff>
    </xdr:from>
    <xdr:to>
      <xdr:col>18</xdr:col>
      <xdr:colOff>11205</xdr:colOff>
      <xdr:row>36</xdr:row>
      <xdr:rowOff>145676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1F806836-8596-72EC-BFFD-FEF30FEBA9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image" Target="../media/image8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A9FE6-C628-49AA-BA14-0E2A5FF14684}">
  <sheetPr codeName="Hoja2"/>
  <dimension ref="B6:M49"/>
  <sheetViews>
    <sheetView zoomScaleNormal="100" workbookViewId="0">
      <selection activeCell="B21" sqref="B21"/>
    </sheetView>
  </sheetViews>
  <sheetFormatPr baseColWidth="10" defaultRowHeight="15" x14ac:dyDescent="0.25"/>
  <cols>
    <col min="1" max="1" width="2.85546875" customWidth="1"/>
    <col min="2" max="2" width="27.5703125" style="53" customWidth="1"/>
    <col min="3" max="3" width="11.7109375" customWidth="1"/>
    <col min="9" max="9" width="49.7109375" customWidth="1"/>
    <col min="10" max="10" width="37" customWidth="1"/>
  </cols>
  <sheetData>
    <row r="6" spans="2:13" x14ac:dyDescent="0.25">
      <c r="B6"/>
    </row>
    <row r="7" spans="2:13" ht="18.75" x14ac:dyDescent="0.3">
      <c r="B7" s="69" t="s">
        <v>256</v>
      </c>
      <c r="C7" s="69"/>
      <c r="D7" s="69"/>
      <c r="E7" s="69"/>
      <c r="F7" s="69"/>
      <c r="G7" s="69"/>
      <c r="H7" s="69"/>
      <c r="I7" s="69"/>
      <c r="J7" s="69"/>
      <c r="K7" s="69"/>
      <c r="L7" s="69"/>
      <c r="M7" s="69"/>
    </row>
    <row r="8" spans="2:13" x14ac:dyDescent="0.25">
      <c r="B8" s="70" t="s">
        <v>254</v>
      </c>
      <c r="C8" s="70"/>
      <c r="D8" s="70"/>
      <c r="E8" s="70"/>
      <c r="F8" s="70"/>
      <c r="G8" s="70"/>
      <c r="H8" s="70"/>
      <c r="I8" s="70"/>
      <c r="J8" s="70"/>
      <c r="K8" s="70"/>
      <c r="L8" s="70"/>
      <c r="M8" s="70"/>
    </row>
    <row r="9" spans="2:13" x14ac:dyDescent="0.25">
      <c r="B9" s="71" t="s">
        <v>255</v>
      </c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</row>
    <row r="10" spans="2:13" x14ac:dyDescent="0.25">
      <c r="B10"/>
    </row>
    <row r="11" spans="2:13" x14ac:dyDescent="0.25">
      <c r="B11" s="27" t="s">
        <v>287</v>
      </c>
    </row>
    <row r="12" spans="2:13" x14ac:dyDescent="0.25">
      <c r="B12" s="1">
        <v>1</v>
      </c>
      <c r="C12" s="37" t="s">
        <v>288</v>
      </c>
      <c r="D12" s="16"/>
      <c r="E12" s="16"/>
      <c r="F12" s="16"/>
      <c r="G12" s="16"/>
      <c r="H12" s="16"/>
      <c r="I12" s="16"/>
      <c r="J12" s="16"/>
    </row>
    <row r="13" spans="2:13" x14ac:dyDescent="0.25">
      <c r="B13" s="1">
        <v>2</v>
      </c>
      <c r="C13" s="37" t="s">
        <v>289</v>
      </c>
      <c r="D13" s="16"/>
      <c r="E13" s="16"/>
      <c r="F13" s="16"/>
      <c r="G13" s="16"/>
      <c r="H13" s="16"/>
      <c r="I13" s="16"/>
      <c r="J13" s="16"/>
    </row>
    <row r="14" spans="2:13" x14ac:dyDescent="0.25">
      <c r="B14" s="1">
        <v>3</v>
      </c>
      <c r="C14" s="37" t="s">
        <v>290</v>
      </c>
      <c r="D14" s="16"/>
      <c r="E14" s="16"/>
      <c r="F14" s="16"/>
      <c r="G14" s="16"/>
      <c r="H14" s="16"/>
      <c r="I14" s="16"/>
      <c r="J14" s="16"/>
    </row>
    <row r="15" spans="2:13" x14ac:dyDescent="0.25">
      <c r="B15" s="1">
        <v>4</v>
      </c>
      <c r="C15" s="37" t="s">
        <v>291</v>
      </c>
      <c r="D15" s="16"/>
      <c r="E15" s="16"/>
      <c r="F15" s="16"/>
      <c r="G15" s="16"/>
      <c r="H15" s="16"/>
      <c r="I15" s="16"/>
      <c r="J15" s="16"/>
    </row>
    <row r="16" spans="2:13" x14ac:dyDescent="0.25">
      <c r="B16"/>
    </row>
    <row r="17" spans="2:11" x14ac:dyDescent="0.25">
      <c r="B17" s="24" t="s">
        <v>235</v>
      </c>
    </row>
    <row r="18" spans="2:11" x14ac:dyDescent="0.25">
      <c r="B18" s="13" t="s">
        <v>236</v>
      </c>
      <c r="C18" s="74" t="s">
        <v>239</v>
      </c>
      <c r="D18" s="74"/>
      <c r="E18" s="74"/>
      <c r="F18" s="74"/>
      <c r="G18" s="74"/>
      <c r="H18" s="74"/>
      <c r="I18" s="74"/>
      <c r="J18" s="74"/>
      <c r="K18" s="75"/>
    </row>
    <row r="19" spans="2:11" x14ac:dyDescent="0.25">
      <c r="B19" s="14" t="s">
        <v>237</v>
      </c>
      <c r="C19" s="73" t="s">
        <v>240</v>
      </c>
      <c r="D19" s="73"/>
      <c r="E19" s="73"/>
      <c r="F19" s="73"/>
      <c r="G19" s="73"/>
      <c r="H19" s="73"/>
      <c r="I19" s="73"/>
      <c r="J19" s="73"/>
      <c r="K19" s="76"/>
    </row>
    <row r="20" spans="2:11" x14ac:dyDescent="0.25">
      <c r="B20" s="18" t="s">
        <v>238</v>
      </c>
      <c r="C20" s="73" t="s">
        <v>258</v>
      </c>
      <c r="D20" s="73"/>
      <c r="E20" s="73"/>
      <c r="F20" s="73"/>
      <c r="G20" s="73"/>
      <c r="H20" s="73"/>
      <c r="I20" s="73"/>
      <c r="J20" s="73"/>
      <c r="K20" s="21"/>
    </row>
    <row r="21" spans="2:11" x14ac:dyDescent="0.25">
      <c r="B21" s="25" t="s">
        <v>257</v>
      </c>
      <c r="C21" s="73" t="s">
        <v>260</v>
      </c>
      <c r="D21" s="73"/>
      <c r="E21" s="73"/>
      <c r="F21" s="73"/>
      <c r="G21" s="73"/>
      <c r="H21" s="73"/>
      <c r="I21" s="73"/>
      <c r="J21" s="73"/>
      <c r="K21" s="21"/>
    </row>
    <row r="22" spans="2:11" x14ac:dyDescent="0.25">
      <c r="B22" s="1"/>
      <c r="C22" s="22" t="s">
        <v>261</v>
      </c>
      <c r="D22" s="16"/>
      <c r="E22" s="16"/>
      <c r="F22" s="16"/>
      <c r="G22" s="16"/>
      <c r="H22" s="16"/>
      <c r="I22" s="16"/>
      <c r="J22" s="16"/>
      <c r="K22" s="23"/>
    </row>
    <row r="23" spans="2:11" x14ac:dyDescent="0.25">
      <c r="B23"/>
      <c r="C23" s="20"/>
    </row>
    <row r="24" spans="2:11" x14ac:dyDescent="0.25">
      <c r="B24" s="39" t="s">
        <v>241</v>
      </c>
    </row>
    <row r="25" spans="2:11" x14ac:dyDescent="0.25">
      <c r="B25" s="38" t="s">
        <v>140</v>
      </c>
      <c r="C25" s="16" t="s">
        <v>245</v>
      </c>
      <c r="D25" s="16"/>
      <c r="E25" s="16"/>
      <c r="F25" s="16"/>
      <c r="G25" s="16"/>
      <c r="H25" s="16"/>
      <c r="I25" s="16"/>
      <c r="J25" s="16"/>
    </row>
    <row r="26" spans="2:11" x14ac:dyDescent="0.25">
      <c r="B26" s="17" t="s">
        <v>183</v>
      </c>
      <c r="C26" s="16" t="s">
        <v>246</v>
      </c>
      <c r="D26" s="16"/>
      <c r="E26" s="16"/>
      <c r="F26" s="16"/>
      <c r="G26" s="16"/>
      <c r="H26" s="16"/>
      <c r="I26" s="16"/>
      <c r="J26" s="16"/>
    </row>
    <row r="27" spans="2:11" x14ac:dyDescent="0.25">
      <c r="B27" s="17" t="s">
        <v>242</v>
      </c>
      <c r="C27" s="16" t="s">
        <v>247</v>
      </c>
      <c r="D27" s="16"/>
      <c r="E27" s="16"/>
      <c r="F27" s="16"/>
      <c r="G27" s="16"/>
      <c r="H27" s="16"/>
      <c r="I27" s="16"/>
      <c r="J27" s="16"/>
    </row>
    <row r="28" spans="2:11" x14ac:dyDescent="0.25">
      <c r="B28" s="15" t="s">
        <v>232</v>
      </c>
      <c r="C28" s="16" t="s">
        <v>248</v>
      </c>
      <c r="D28" s="16"/>
      <c r="E28" s="16"/>
      <c r="F28" s="16"/>
      <c r="G28" s="16"/>
      <c r="H28" s="16"/>
      <c r="I28" s="16"/>
      <c r="J28" s="16"/>
    </row>
    <row r="29" spans="2:11" x14ac:dyDescent="0.25">
      <c r="B29" s="15" t="s">
        <v>182</v>
      </c>
      <c r="C29" s="16" t="s">
        <v>249</v>
      </c>
      <c r="D29" s="16"/>
      <c r="E29" s="16"/>
      <c r="F29" s="16"/>
      <c r="G29" s="16"/>
      <c r="H29" s="16"/>
      <c r="I29" s="16"/>
      <c r="J29" s="16"/>
    </row>
    <row r="30" spans="2:11" x14ac:dyDescent="0.25">
      <c r="B30" s="15" t="s">
        <v>243</v>
      </c>
      <c r="C30" s="16" t="s">
        <v>250</v>
      </c>
      <c r="D30" s="16"/>
      <c r="E30" s="16"/>
      <c r="F30" s="16"/>
      <c r="G30" s="16"/>
      <c r="H30" s="16"/>
      <c r="I30" s="16"/>
      <c r="J30" s="16"/>
    </row>
    <row r="31" spans="2:11" x14ac:dyDescent="0.25">
      <c r="B31" s="17" t="s">
        <v>186</v>
      </c>
      <c r="C31" s="16" t="s">
        <v>251</v>
      </c>
      <c r="D31" s="16"/>
      <c r="E31" s="16"/>
      <c r="F31" s="16"/>
      <c r="G31" s="16"/>
      <c r="H31" s="16"/>
      <c r="I31" s="16"/>
      <c r="J31" s="16"/>
    </row>
    <row r="32" spans="2:11" x14ac:dyDescent="0.25">
      <c r="B32" s="17" t="s">
        <v>244</v>
      </c>
      <c r="C32" s="16" t="s">
        <v>252</v>
      </c>
      <c r="D32" s="16"/>
      <c r="E32" s="16"/>
      <c r="F32" s="16"/>
      <c r="G32" s="16"/>
      <c r="H32" s="16"/>
      <c r="I32" s="16"/>
      <c r="J32" s="16"/>
    </row>
    <row r="33" spans="2:13" x14ac:dyDescent="0.25">
      <c r="B33" s="17" t="s">
        <v>189</v>
      </c>
      <c r="C33" s="16" t="s">
        <v>253</v>
      </c>
      <c r="D33" s="16"/>
      <c r="E33" s="16"/>
      <c r="F33" s="16"/>
      <c r="G33" s="16"/>
      <c r="H33" s="16"/>
      <c r="I33" s="16"/>
      <c r="J33" s="16"/>
    </row>
    <row r="34" spans="2:13" x14ac:dyDescent="0.25">
      <c r="B34" s="17" t="s">
        <v>282</v>
      </c>
      <c r="C34" s="35" t="s">
        <v>283</v>
      </c>
      <c r="D34" s="36"/>
      <c r="E34" s="36"/>
      <c r="F34" s="36"/>
      <c r="G34" s="36"/>
      <c r="H34" s="36"/>
      <c r="I34" s="36"/>
      <c r="J34" s="36"/>
    </row>
    <row r="35" spans="2:13" x14ac:dyDescent="0.25">
      <c r="B35"/>
    </row>
    <row r="36" spans="2:13" x14ac:dyDescent="0.25">
      <c r="B36" s="24" t="s">
        <v>284</v>
      </c>
    </row>
    <row r="37" spans="2:13" x14ac:dyDescent="0.25">
      <c r="B37" s="1">
        <v>1</v>
      </c>
      <c r="C37" s="37" t="s">
        <v>285</v>
      </c>
      <c r="D37" s="16"/>
      <c r="E37" s="16"/>
      <c r="F37" s="16"/>
      <c r="G37" s="16"/>
      <c r="H37" s="16"/>
      <c r="I37" s="16"/>
    </row>
    <row r="38" spans="2:13" x14ac:dyDescent="0.25">
      <c r="B38" s="1">
        <v>2</v>
      </c>
      <c r="C38" s="37" t="s">
        <v>286</v>
      </c>
      <c r="D38" s="16"/>
      <c r="E38" s="16"/>
      <c r="F38" s="16"/>
      <c r="G38" s="16"/>
      <c r="H38" s="16"/>
      <c r="I38" s="16"/>
    </row>
    <row r="39" spans="2:13" x14ac:dyDescent="0.25">
      <c r="B39"/>
    </row>
    <row r="40" spans="2:13" x14ac:dyDescent="0.25"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</row>
    <row r="42" spans="2:13" x14ac:dyDescent="0.25">
      <c r="B42" s="27" t="s">
        <v>320</v>
      </c>
    </row>
    <row r="43" spans="2:13" ht="48.75" customHeight="1" x14ac:dyDescent="0.25">
      <c r="B43" s="55" t="s">
        <v>236</v>
      </c>
      <c r="C43" s="72" t="s">
        <v>324</v>
      </c>
      <c r="D43" s="72"/>
      <c r="E43" s="72"/>
      <c r="F43" s="72"/>
      <c r="G43" s="72"/>
      <c r="H43" s="72"/>
      <c r="I43" s="72"/>
    </row>
    <row r="44" spans="2:13" x14ac:dyDescent="0.25">
      <c r="B44" s="53" t="s">
        <v>237</v>
      </c>
      <c r="C44" s="16" t="s">
        <v>321</v>
      </c>
      <c r="D44" s="16"/>
      <c r="E44" s="16"/>
      <c r="F44" s="16"/>
      <c r="G44" s="16"/>
      <c r="H44" s="16"/>
      <c r="I44" s="16"/>
    </row>
    <row r="45" spans="2:13" x14ac:dyDescent="0.25">
      <c r="B45" s="54" t="s">
        <v>238</v>
      </c>
      <c r="C45" s="16" t="s">
        <v>322</v>
      </c>
      <c r="D45" s="16"/>
      <c r="E45" s="16"/>
      <c r="F45" s="16"/>
      <c r="G45" s="16"/>
      <c r="H45" s="16"/>
      <c r="I45" s="16"/>
    </row>
    <row r="46" spans="2:13" x14ac:dyDescent="0.25">
      <c r="B46" s="53" t="s">
        <v>257</v>
      </c>
      <c r="C46" s="16" t="s">
        <v>323</v>
      </c>
      <c r="D46" s="16"/>
      <c r="E46" s="16"/>
      <c r="F46" s="16"/>
      <c r="G46" s="16"/>
      <c r="H46" s="16"/>
      <c r="I46" s="16"/>
    </row>
    <row r="47" spans="2:13" x14ac:dyDescent="0.25">
      <c r="B47" s="53" t="s">
        <v>334</v>
      </c>
      <c r="C47" t="s">
        <v>335</v>
      </c>
    </row>
    <row r="49" spans="2:2" x14ac:dyDescent="0.25">
      <c r="B49"/>
    </row>
  </sheetData>
  <mergeCells count="8">
    <mergeCell ref="B7:M7"/>
    <mergeCell ref="B8:M8"/>
    <mergeCell ref="B9:M9"/>
    <mergeCell ref="C43:I43"/>
    <mergeCell ref="C20:J20"/>
    <mergeCell ref="C21:J21"/>
    <mergeCell ref="C18:K18"/>
    <mergeCell ref="C19:K19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E9675-7678-490A-AEE8-10A802937E2D}">
  <sheetPr codeName="Hoja1"/>
  <dimension ref="B1:E20"/>
  <sheetViews>
    <sheetView zoomScaleNormal="100" workbookViewId="0">
      <selection activeCell="J10" sqref="J10"/>
    </sheetView>
  </sheetViews>
  <sheetFormatPr baseColWidth="10" defaultRowHeight="15" x14ac:dyDescent="0.25"/>
  <cols>
    <col min="1" max="1" width="8.5703125" customWidth="1"/>
    <col min="2" max="2" width="19.7109375" customWidth="1"/>
    <col min="3" max="3" width="33.5703125" customWidth="1"/>
    <col min="4" max="4" width="22" customWidth="1"/>
    <col min="5" max="5" width="37.140625" customWidth="1"/>
    <col min="6" max="6" width="11.42578125" customWidth="1"/>
  </cols>
  <sheetData>
    <row r="1" spans="2:5" ht="8.25" customHeight="1" x14ac:dyDescent="0.25"/>
    <row r="2" spans="2:5" ht="9" customHeight="1" x14ac:dyDescent="0.25"/>
    <row r="3" spans="2:5" ht="8.25" customHeight="1" x14ac:dyDescent="0.25"/>
    <row r="4" spans="2:5" ht="6.75" customHeight="1" x14ac:dyDescent="0.25"/>
    <row r="5" spans="2:5" ht="21.75" customHeight="1" x14ac:dyDescent="0.25"/>
    <row r="6" spans="2:5" x14ac:dyDescent="0.25">
      <c r="B6" s="78" t="str">
        <f ca="1">_xlfn.CONCAT("Registro de casos de soporte Tecnico de ",ENTIDADES!F52," ",ENTIDADES!F55)</f>
        <v>Registro de casos de soporte Tecnico de AGOSTO 2024</v>
      </c>
      <c r="C6" s="78"/>
      <c r="D6" s="78"/>
      <c r="E6" s="78"/>
    </row>
    <row r="7" spans="2:5" x14ac:dyDescent="0.25">
      <c r="B7" s="79" t="s">
        <v>233</v>
      </c>
      <c r="C7" s="79"/>
      <c r="D7" s="79"/>
      <c r="E7" s="79"/>
    </row>
    <row r="9" spans="2:5" x14ac:dyDescent="0.25">
      <c r="B9" s="77" t="s">
        <v>180</v>
      </c>
      <c r="C9" s="77"/>
      <c r="D9" s="77"/>
      <c r="E9" s="77"/>
    </row>
    <row r="10" spans="2:5" x14ac:dyDescent="0.25">
      <c r="B10" s="12" t="s">
        <v>181</v>
      </c>
      <c r="C10" s="1"/>
      <c r="D10" s="65" t="s">
        <v>182</v>
      </c>
      <c r="E10" s="1" t="e">
        <f>_xlfn.XLOOKUP(E13,ENTIDADES!B3:B66,ENTIDADES!C3:C66)</f>
        <v>#N/A</v>
      </c>
    </row>
    <row r="11" spans="2:5" x14ac:dyDescent="0.25">
      <c r="B11" s="12" t="s">
        <v>183</v>
      </c>
      <c r="C11" s="1"/>
      <c r="D11" s="64" t="s">
        <v>184</v>
      </c>
      <c r="E11" s="42">
        <f ca="1">TODAY()</f>
        <v>45527</v>
      </c>
    </row>
    <row r="12" spans="2:5" x14ac:dyDescent="0.25">
      <c r="B12" s="12" t="s">
        <v>185</v>
      </c>
      <c r="C12" s="1"/>
      <c r="D12" s="12" t="s">
        <v>186</v>
      </c>
      <c r="E12" s="1"/>
    </row>
    <row r="13" spans="2:5" x14ac:dyDescent="0.25">
      <c r="B13" s="12" t="s">
        <v>187</v>
      </c>
      <c r="C13" s="1"/>
      <c r="D13" s="12" t="s">
        <v>188</v>
      </c>
      <c r="E13" s="1"/>
    </row>
    <row r="14" spans="2:5" x14ac:dyDescent="0.25">
      <c r="B14" s="64" t="s">
        <v>232</v>
      </c>
      <c r="C14" s="1" t="e">
        <f>_xlfn.XLOOKUP(E13,ENTIDADES!B3:B66,ENTIDADES!D3:D66)</f>
        <v>#N/A</v>
      </c>
      <c r="D14" s="12" t="s">
        <v>189</v>
      </c>
      <c r="E14" s="1"/>
    </row>
    <row r="16" spans="2:5" x14ac:dyDescent="0.25">
      <c r="D16" s="12" t="s">
        <v>281</v>
      </c>
      <c r="E16" s="1">
        <f>ESTADISTICAS!F19</f>
        <v>0</v>
      </c>
    </row>
    <row r="17" spans="2:5" x14ac:dyDescent="0.25">
      <c r="D17" s="66" t="s">
        <v>338</v>
      </c>
      <c r="E17" s="1">
        <f>ESTADISTICAS!F20</f>
        <v>0</v>
      </c>
    </row>
    <row r="18" spans="2:5" x14ac:dyDescent="0.25">
      <c r="D18" s="67" t="s">
        <v>339</v>
      </c>
      <c r="E18" s="1">
        <f>ESTADISTICAS!F21</f>
        <v>0</v>
      </c>
    </row>
    <row r="20" spans="2:5" ht="23.25" x14ac:dyDescent="0.25">
      <c r="B20" s="68" t="s">
        <v>336</v>
      </c>
      <c r="C20" s="61" t="s">
        <v>337</v>
      </c>
    </row>
  </sheetData>
  <mergeCells count="3">
    <mergeCell ref="B9:E9"/>
    <mergeCell ref="B6:E6"/>
    <mergeCell ref="B7:E7"/>
  </mergeCells>
  <dataValidations count="2">
    <dataValidation allowBlank="1" showInputMessage="1" showErrorMessage="1" promptTitle="¡Advertencia!" prompt="[Formula xls], No editar valor de la celda" sqref="E11" xr:uid="{9CD0D1B7-4413-49C2-8EEA-EBEDC9F2ED1A}"/>
    <dataValidation showDropDown="1" showInputMessage="1" showErrorMessage="1" promptTitle="¡Advertencia!" prompt="[Formula] xls, no editar este campo" sqref="C14" xr:uid="{4B83EFE2-01B8-48E2-9BD5-8FE447B80E62}"/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1" r:id="rId3" name="BotonDeRegistrar">
          <controlPr defaultSize="0" autoLine="0" r:id="rId4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1</xdr:col>
                <xdr:colOff>1295400</xdr:colOff>
                <xdr:row>17</xdr:row>
                <xdr:rowOff>0</xdr:rowOff>
              </to>
            </anchor>
          </controlPr>
        </control>
      </mc:Choice>
      <mc:Fallback>
        <control shapeId="1031" r:id="rId3" name="BotonDeRegistra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Nombre Funcionario" prompt="Ingrese el nombre de quien lo solicita" xr:uid="{247800E6-D34F-4B7A-9DE3-E753EE4B826A}">
          <x14:formula1>
            <xm:f>ENTIDADES!$B$3:$B$66</xm:f>
          </x14:formula1>
          <xm:sqref>E13</xm:sqref>
        </x14:dataValidation>
        <x14:dataValidation type="list" allowBlank="1" showInputMessage="1" showErrorMessage="1" xr:uid="{D1A042D2-C32A-4F8A-AD7C-706A9C0DC9B0}">
          <x14:formula1>
            <xm:f>ENTIDADES!$F$2:$F$5</xm:f>
          </x14:formula1>
          <xm:sqref>C11</xm:sqref>
        </x14:dataValidation>
        <x14:dataValidation type="list" allowBlank="1" showInputMessage="1" showErrorMessage="1" xr:uid="{09ABD853-4C56-454A-B82C-D2559EAA1B36}">
          <x14:formula1>
            <xm:f>ENTIDADES!$O$2:$O$101</xm:f>
          </x14:formula1>
          <xm:sqref>C10</xm:sqref>
        </x14:dataValidation>
        <x14:dataValidation type="list" allowBlank="1" showInputMessage="1" showErrorMessage="1" xr:uid="{3AE601E4-508F-458C-983D-11DBC1C57811}">
          <x14:formula1>
            <xm:f>ENTIDADES!$I$2:$I$4</xm:f>
          </x14:formula1>
          <xm:sqref>E12</xm:sqref>
        </x14:dataValidation>
        <x14:dataValidation type="list" allowBlank="1" showInputMessage="1" showErrorMessage="1" xr:uid="{368D556F-6EDF-4CB7-9DAD-5441CDAB6DEA}">
          <x14:formula1>
            <xm:f>ENTIDADES!$F$37:$F$48</xm:f>
          </x14:formula1>
          <xm:sqref>C12:C13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2BBBC-3689-470F-A43E-8D26D1070F14}">
  <sheetPr codeName="Hoja6"/>
  <dimension ref="B1:S27"/>
  <sheetViews>
    <sheetView topLeftCell="A8" workbookViewId="0">
      <selection activeCell="D24" sqref="D19:F24"/>
    </sheetView>
  </sheetViews>
  <sheetFormatPr baseColWidth="10" defaultRowHeight="15" x14ac:dyDescent="0.25"/>
  <cols>
    <col min="1" max="1" width="6.42578125" customWidth="1"/>
    <col min="2" max="2" width="18" customWidth="1"/>
    <col min="3" max="3" width="10.5703125" customWidth="1"/>
    <col min="4" max="4" width="40.5703125" customWidth="1"/>
    <col min="5" max="5" width="20.140625" bestFit="1" customWidth="1"/>
    <col min="6" max="6" width="24.140625" customWidth="1"/>
    <col min="7" max="7" width="3.7109375" customWidth="1"/>
    <col min="8" max="8" width="3.42578125" customWidth="1"/>
    <col min="9" max="9" width="3.140625" customWidth="1"/>
    <col min="10" max="10" width="3" customWidth="1"/>
    <col min="11" max="11" width="3.140625" customWidth="1"/>
    <col min="12" max="12" width="14" customWidth="1"/>
    <col min="13" max="13" width="9" customWidth="1"/>
    <col min="14" max="14" width="3.42578125" customWidth="1"/>
    <col min="15" max="15" width="18.140625" customWidth="1"/>
    <col min="16" max="16" width="35.5703125" customWidth="1"/>
    <col min="17" max="17" width="11.7109375" customWidth="1"/>
    <col min="18" max="18" width="25.7109375" customWidth="1"/>
  </cols>
  <sheetData>
    <row r="1" spans="2:18" ht="18" customHeight="1" x14ac:dyDescent="0.25"/>
    <row r="2" spans="2:18" x14ac:dyDescent="0.25">
      <c r="L2" s="63" t="s">
        <v>332</v>
      </c>
      <c r="M2" s="28"/>
    </row>
    <row r="3" spans="2:18" ht="34.5" x14ac:dyDescent="0.25">
      <c r="L3" s="63" t="s">
        <v>333</v>
      </c>
      <c r="M3" s="28"/>
      <c r="Q3" s="62" t="s">
        <v>336</v>
      </c>
      <c r="R3" s="61" t="s">
        <v>337</v>
      </c>
    </row>
    <row r="4" spans="2:18" x14ac:dyDescent="0.25">
      <c r="F4" s="51"/>
    </row>
    <row r="5" spans="2:18" x14ac:dyDescent="0.25">
      <c r="B5" s="81" t="s">
        <v>273</v>
      </c>
      <c r="C5" s="81"/>
      <c r="D5" s="81"/>
      <c r="E5" s="81"/>
      <c r="F5" s="81"/>
      <c r="O5" s="59" t="s">
        <v>325</v>
      </c>
    </row>
    <row r="6" spans="2:18" x14ac:dyDescent="0.25">
      <c r="B6" s="82" t="s">
        <v>297</v>
      </c>
      <c r="C6" s="82"/>
      <c r="D6" s="82"/>
      <c r="E6" s="82"/>
      <c r="F6" s="82"/>
      <c r="O6" s="77" t="s">
        <v>331</v>
      </c>
      <c r="P6" s="77"/>
      <c r="Q6" s="77"/>
      <c r="R6" s="77"/>
    </row>
    <row r="7" spans="2:18" x14ac:dyDescent="0.25">
      <c r="B7" s="83" t="s">
        <v>298</v>
      </c>
      <c r="C7" s="83"/>
      <c r="D7" s="83"/>
      <c r="E7" s="83"/>
      <c r="F7" s="83"/>
      <c r="O7" s="30" t="s">
        <v>299</v>
      </c>
      <c r="P7" s="56">
        <f>_xlfn.XLOOKUP(P12,'REGISTRO ENTRADA_SALIDA'!A3:A102,'REGISTRO ENTRADA_SALIDA'!C3:C102)</f>
        <v>0</v>
      </c>
      <c r="Q7" s="28" t="s">
        <v>189</v>
      </c>
      <c r="R7" s="18">
        <f>_xlfn.XLOOKUP(P12,'REGISTRO ENTRADA_SALIDA'!A3:A102,'REGISTRO ENTRADA_SALIDA'!G3:G102)</f>
        <v>0</v>
      </c>
    </row>
    <row r="8" spans="2:18" x14ac:dyDescent="0.25">
      <c r="O8" s="30" t="s">
        <v>326</v>
      </c>
      <c r="P8" s="53">
        <f>_xlfn.XLOOKUP(P12,'REGISTRO ENTRADA_SALIDA'!A3:A102,'REGISTRO ENTRADA_SALIDA'!E3:E102)</f>
        <v>0</v>
      </c>
      <c r="Q8" s="28" t="s">
        <v>307</v>
      </c>
      <c r="R8" s="56">
        <f>_xlfn.XLOOKUP(P12,'REGISTRO ENTRADA_SALIDA'!A3:A102,'REGISTRO ENTRADA_SALIDA'!H3:H102)</f>
        <v>0</v>
      </c>
    </row>
    <row r="9" spans="2:18" x14ac:dyDescent="0.25">
      <c r="B9" s="40" t="str">
        <f>_xlfn.CONCAT("REGISTRO #"," ",F24)</f>
        <v>REGISTRO # 1</v>
      </c>
      <c r="D9" s="41"/>
      <c r="L9" s="71" t="s">
        <v>310</v>
      </c>
      <c r="M9" s="71"/>
      <c r="O9" s="30" t="s">
        <v>327</v>
      </c>
      <c r="P9" s="18">
        <f>_xlfn.XLOOKUP(P12,'REGISTRO ENTRADA_SALIDA'!A3:A102,'REGISTRO ENTRADA_SALIDA'!F3:F102)</f>
        <v>0</v>
      </c>
      <c r="Q9" s="28" t="s">
        <v>328</v>
      </c>
      <c r="R9" s="18">
        <f>_xlfn.XLOOKUP(P12,'REGISTRO ENTRADA_SALIDA'!A3:A102,'REGISTRO ENTRADA_SALIDA'!I3:I102)</f>
        <v>0</v>
      </c>
    </row>
    <row r="10" spans="2:18" x14ac:dyDescent="0.25">
      <c r="B10" s="4" t="s">
        <v>299</v>
      </c>
      <c r="C10" s="42">
        <f ca="1">TODAY()</f>
        <v>45527</v>
      </c>
      <c r="E10" s="28" t="s">
        <v>300</v>
      </c>
      <c r="F10" s="1"/>
      <c r="O10" s="30" t="s">
        <v>329</v>
      </c>
      <c r="P10" s="57">
        <f>_xlfn.XLOOKUP(P12,'REGISTRO ENTRADA_SALIDA'!A3:A102,'REGISTRO ENTRADA_SALIDA'!D3:D102)</f>
        <v>0</v>
      </c>
      <c r="Q10" s="28" t="s">
        <v>317</v>
      </c>
      <c r="R10" s="18">
        <f>_xlfn.XLOOKUP(P12,'REGISTRO ENTRADA_SALIDA'!A3:A102,'REGISTRO ENTRADA_SALIDA'!J3:J102)</f>
        <v>0</v>
      </c>
    </row>
    <row r="11" spans="2:18" x14ac:dyDescent="0.25">
      <c r="O11" s="58" t="s">
        <v>186</v>
      </c>
      <c r="P11" s="11">
        <f>_xlfn.XLOOKUP(P12,'REGISTRO ENTRADA_SALIDA'!A3:A102,'REGISTRO ENTRADA_SALIDA'!L3:L102)</f>
        <v>0</v>
      </c>
      <c r="Q11" s="28" t="s">
        <v>306</v>
      </c>
      <c r="R11" s="18">
        <f>_xlfn.XLOOKUP(P12,'REGISTRO ENTRADA_SALIDA'!A3:A102,'REGISTRO ENTRADA_SALIDA'!K3:K102)</f>
        <v>0</v>
      </c>
    </row>
    <row r="12" spans="2:18" x14ac:dyDescent="0.25">
      <c r="B12" s="84" t="s">
        <v>301</v>
      </c>
      <c r="C12" s="84"/>
      <c r="D12" s="1"/>
      <c r="E12" s="43" t="s">
        <v>302</v>
      </c>
      <c r="F12" s="1" t="s">
        <v>303</v>
      </c>
      <c r="O12" s="2" t="s">
        <v>330</v>
      </c>
      <c r="P12" s="1">
        <v>2</v>
      </c>
    </row>
    <row r="13" spans="2:18" ht="6" customHeight="1" x14ac:dyDescent="0.25"/>
    <row r="14" spans="2:18" ht="5.25" customHeight="1" x14ac:dyDescent="0.25"/>
    <row r="15" spans="2:18" x14ac:dyDescent="0.25">
      <c r="B15" s="85" t="s">
        <v>189</v>
      </c>
      <c r="C15" s="85" t="s">
        <v>304</v>
      </c>
      <c r="D15" s="85"/>
      <c r="E15" s="86" t="s">
        <v>305</v>
      </c>
      <c r="F15" s="86" t="s">
        <v>306</v>
      </c>
      <c r="L15" s="30" t="s">
        <v>311</v>
      </c>
      <c r="M15" s="1">
        <f>COUNTIF('REGISTRO ENTRADA_SALIDA'!L3:L102,"Prestado")</f>
        <v>0</v>
      </c>
    </row>
    <row r="16" spans="2:18" x14ac:dyDescent="0.25">
      <c r="B16" s="86"/>
      <c r="C16" s="44" t="s">
        <v>307</v>
      </c>
      <c r="D16" s="44" t="s">
        <v>308</v>
      </c>
      <c r="E16" s="87"/>
      <c r="F16" s="87"/>
      <c r="L16" s="28" t="s">
        <v>319</v>
      </c>
      <c r="M16" s="1">
        <f>COUNTIF('REGISTRO ENTRADA_SALIDA'!L3:L102,"Devuelto")</f>
        <v>0</v>
      </c>
    </row>
    <row r="17" spans="2:19" x14ac:dyDescent="0.25">
      <c r="B17" s="45"/>
      <c r="C17" s="8"/>
      <c r="E17" s="8"/>
      <c r="F17" s="60"/>
    </row>
    <row r="18" spans="2:19" x14ac:dyDescent="0.25">
      <c r="B18" s="46"/>
      <c r="C18" s="47"/>
      <c r="D18" s="47"/>
      <c r="E18" s="47"/>
      <c r="F18" s="47"/>
      <c r="S18" s="51"/>
    </row>
    <row r="19" spans="2:19" x14ac:dyDescent="0.25">
      <c r="B19" s="46"/>
      <c r="C19" s="47"/>
      <c r="D19" s="47"/>
      <c r="E19" s="47"/>
      <c r="F19" s="47"/>
    </row>
    <row r="20" spans="2:19" x14ac:dyDescent="0.25">
      <c r="B20" s="46"/>
      <c r="C20" s="47"/>
      <c r="D20" s="47"/>
      <c r="E20" s="47"/>
      <c r="F20" s="47"/>
    </row>
    <row r="21" spans="2:19" x14ac:dyDescent="0.25">
      <c r="B21" s="46"/>
      <c r="C21" s="47"/>
      <c r="D21" s="47"/>
      <c r="E21" s="47"/>
      <c r="F21" s="47"/>
    </row>
    <row r="22" spans="2:19" x14ac:dyDescent="0.25">
      <c r="B22" s="46"/>
      <c r="C22" s="47"/>
      <c r="D22" s="47"/>
      <c r="E22" s="47"/>
      <c r="F22" s="47"/>
    </row>
    <row r="23" spans="2:19" x14ac:dyDescent="0.25">
      <c r="B23" s="48"/>
      <c r="C23" s="49"/>
      <c r="D23" s="49"/>
      <c r="E23" s="49"/>
      <c r="F23" s="49"/>
    </row>
    <row r="24" spans="2:19" ht="14.25" customHeight="1" x14ac:dyDescent="0.25">
      <c r="F24" s="51">
        <v>1</v>
      </c>
    </row>
    <row r="25" spans="2:19" ht="7.5" customHeight="1" x14ac:dyDescent="0.25"/>
    <row r="26" spans="2:19" ht="5.25" customHeight="1" x14ac:dyDescent="0.25">
      <c r="C26" s="80"/>
      <c r="D26" s="80"/>
      <c r="E26" s="80"/>
      <c r="F26" s="80"/>
    </row>
    <row r="27" spans="2:19" x14ac:dyDescent="0.25">
      <c r="B27" s="50" t="s">
        <v>309</v>
      </c>
      <c r="C27" s="37"/>
      <c r="D27" s="16"/>
      <c r="E27" s="16"/>
      <c r="F27" s="16"/>
    </row>
  </sheetData>
  <mergeCells count="11">
    <mergeCell ref="O6:R6"/>
    <mergeCell ref="C26:F26"/>
    <mergeCell ref="L9:M9"/>
    <mergeCell ref="B5:F5"/>
    <mergeCell ref="B6:F6"/>
    <mergeCell ref="B7:F7"/>
    <mergeCell ref="B12:C12"/>
    <mergeCell ref="B15:B16"/>
    <mergeCell ref="C15:D15"/>
    <mergeCell ref="E15:E16"/>
    <mergeCell ref="F15:F16"/>
  </mergeCells>
  <conditionalFormatting sqref="P11">
    <cfRule type="containsText" dxfId="1" priority="1" operator="containsText" text="DEVUELTO">
      <formula>NOT(ISERROR(SEARCH("DEVUELTO",P11)))</formula>
    </cfRule>
    <cfRule type="containsText" dxfId="0" priority="2" operator="containsText" text="PRESTADO">
      <formula>NOT(ISERROR(SEARCH("PRESTADO",P11)))</formula>
    </cfRule>
  </conditionalFormatting>
  <pageMargins left="0.7" right="0.7" top="0.75" bottom="0.75" header="0.3" footer="0.3"/>
  <pageSetup paperSize="9" orientation="landscape" horizontalDpi="0" verticalDpi="0" r:id="rId1"/>
  <drawing r:id="rId2"/>
  <legacyDrawing r:id="rId3"/>
  <controls>
    <mc:AlternateContent xmlns:mc="http://schemas.openxmlformats.org/markup-compatibility/2006">
      <mc:Choice Requires="x14">
        <control shapeId="6148" r:id="rId4" name="CommandButton2">
          <controlPr defaultSize="0" autoLine="0" r:id="rId5">
            <anchor moveWithCells="1">
              <from>
                <xdr:col>11</xdr:col>
                <xdr:colOff>0</xdr:colOff>
                <xdr:row>17</xdr:row>
                <xdr:rowOff>0</xdr:rowOff>
              </from>
              <to>
                <xdr:col>13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6148" r:id="rId4" name="CommandButton2"/>
      </mc:Fallback>
    </mc:AlternateContent>
    <mc:AlternateContent xmlns:mc="http://schemas.openxmlformats.org/markup-compatibility/2006">
      <mc:Choice Requires="x14">
        <control shapeId="6147" r:id="rId6" name="CommandButton1">
          <controlPr defaultSize="0" autoLine="0" r:id="rId7">
            <anchor moveWithCells="1">
              <from>
                <xdr:col>11</xdr:col>
                <xdr:colOff>0</xdr:colOff>
                <xdr:row>9</xdr:row>
                <xdr:rowOff>133350</xdr:rowOff>
              </from>
              <to>
                <xdr:col>13</xdr:col>
                <xdr:colOff>0</xdr:colOff>
                <xdr:row>11</xdr:row>
                <xdr:rowOff>133350</xdr:rowOff>
              </to>
            </anchor>
          </controlPr>
        </control>
      </mc:Choice>
      <mc:Fallback>
        <control shapeId="6147" r:id="rId6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6BA3356-A9B2-4A56-853A-44FF11646E1E}">
          <x14:formula1>
            <xm:f>ENTIDADES!$B$3:$B$66</xm:f>
          </x14:formula1>
          <xm:sqref>D12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39F91-5CE3-47D4-92BD-B73D272831D3}">
  <sheetPr codeName="Hoja3"/>
  <dimension ref="A1:O101"/>
  <sheetViews>
    <sheetView topLeftCell="B1" zoomScaleNormal="100" workbookViewId="0">
      <selection activeCell="K5" sqref="K5"/>
    </sheetView>
  </sheetViews>
  <sheetFormatPr baseColWidth="10" defaultRowHeight="15" x14ac:dyDescent="0.25"/>
  <cols>
    <col min="1" max="1" width="5" customWidth="1"/>
    <col min="2" max="2" width="38.42578125" customWidth="1"/>
    <col min="3" max="3" width="8" customWidth="1"/>
    <col min="4" max="4" width="31.42578125" customWidth="1"/>
    <col min="5" max="5" width="2.5703125" customWidth="1"/>
    <col min="6" max="6" width="24" customWidth="1"/>
    <col min="7" max="7" width="11.42578125" customWidth="1"/>
    <col min="8" max="8" width="2.28515625" customWidth="1"/>
    <col min="9" max="9" width="20.140625" customWidth="1"/>
    <col min="12" max="12" width="2.7109375" customWidth="1"/>
    <col min="13" max="13" width="3.5703125" customWidth="1"/>
    <col min="14" max="14" width="3.7109375" customWidth="1"/>
    <col min="15" max="15" width="42" customWidth="1"/>
  </cols>
  <sheetData>
    <row r="1" spans="1:15" x14ac:dyDescent="0.25">
      <c r="A1" s="71" t="s">
        <v>0</v>
      </c>
      <c r="B1" s="71"/>
      <c r="C1" s="71"/>
      <c r="D1" s="71"/>
      <c r="F1" s="77" t="s">
        <v>108</v>
      </c>
      <c r="G1" s="77"/>
      <c r="I1" s="2" t="s">
        <v>138</v>
      </c>
      <c r="N1" s="10" t="s">
        <v>191</v>
      </c>
      <c r="O1" s="10" t="s">
        <v>192</v>
      </c>
    </row>
    <row r="2" spans="1:15" x14ac:dyDescent="0.25">
      <c r="A2" s="4" t="s">
        <v>107</v>
      </c>
      <c r="B2" s="4" t="s">
        <v>1</v>
      </c>
      <c r="C2" s="4" t="s">
        <v>157</v>
      </c>
      <c r="D2" s="4" t="s">
        <v>2</v>
      </c>
      <c r="F2" s="1" t="s">
        <v>109</v>
      </c>
      <c r="G2" s="1">
        <v>1</v>
      </c>
      <c r="I2" s="1" t="s">
        <v>139</v>
      </c>
      <c r="N2" s="1">
        <v>1</v>
      </c>
      <c r="O2" s="1" t="s">
        <v>193</v>
      </c>
    </row>
    <row r="3" spans="1:15" x14ac:dyDescent="0.25">
      <c r="A3" s="1">
        <v>1</v>
      </c>
      <c r="B3" s="1" t="s">
        <v>35</v>
      </c>
      <c r="C3" s="11"/>
      <c r="D3" s="1" t="s">
        <v>34</v>
      </c>
      <c r="F3" s="1" t="s">
        <v>110</v>
      </c>
      <c r="G3" s="1">
        <v>2</v>
      </c>
      <c r="I3" s="1" t="s">
        <v>140</v>
      </c>
      <c r="N3" s="1">
        <v>2</v>
      </c>
      <c r="O3" s="1" t="s">
        <v>194</v>
      </c>
    </row>
    <row r="4" spans="1:15" x14ac:dyDescent="0.25">
      <c r="A4" s="1">
        <v>2</v>
      </c>
      <c r="B4" s="1" t="s">
        <v>37</v>
      </c>
      <c r="C4" s="1">
        <v>1</v>
      </c>
      <c r="D4" s="1" t="s">
        <v>38</v>
      </c>
      <c r="F4" s="1" t="s">
        <v>111</v>
      </c>
      <c r="G4" s="1">
        <v>3</v>
      </c>
      <c r="I4" s="1" t="s">
        <v>141</v>
      </c>
      <c r="N4" s="1">
        <v>3</v>
      </c>
      <c r="O4" s="1" t="s">
        <v>195</v>
      </c>
    </row>
    <row r="5" spans="1:15" x14ac:dyDescent="0.25">
      <c r="A5" s="1">
        <v>3</v>
      </c>
      <c r="B5" s="1" t="s">
        <v>42</v>
      </c>
      <c r="C5" s="1">
        <v>1</v>
      </c>
      <c r="D5" s="1" t="s">
        <v>43</v>
      </c>
      <c r="F5" s="1" t="s">
        <v>112</v>
      </c>
      <c r="G5" s="1">
        <v>4</v>
      </c>
      <c r="N5" s="1">
        <v>4</v>
      </c>
      <c r="O5" s="1" t="s">
        <v>196</v>
      </c>
    </row>
    <row r="6" spans="1:15" x14ac:dyDescent="0.25">
      <c r="A6" s="1">
        <v>4</v>
      </c>
      <c r="B6" s="1" t="s">
        <v>25</v>
      </c>
      <c r="C6" s="1">
        <v>1</v>
      </c>
      <c r="D6" s="1" t="s">
        <v>26</v>
      </c>
      <c r="I6" s="88" t="s">
        <v>160</v>
      </c>
      <c r="J6" s="88"/>
      <c r="K6" s="88"/>
      <c r="N6" s="1">
        <v>5</v>
      </c>
      <c r="O6" s="1" t="s">
        <v>197</v>
      </c>
    </row>
    <row r="7" spans="1:15" x14ac:dyDescent="0.25">
      <c r="A7" s="1">
        <v>5</v>
      </c>
      <c r="B7" s="1" t="s">
        <v>7</v>
      </c>
      <c r="C7" s="1">
        <v>5</v>
      </c>
      <c r="D7" s="1" t="s">
        <v>8</v>
      </c>
      <c r="F7" s="91" t="s">
        <v>159</v>
      </c>
      <c r="G7" s="91"/>
      <c r="I7" s="3" t="s">
        <v>161</v>
      </c>
      <c r="J7" s="3" t="s">
        <v>162</v>
      </c>
      <c r="K7" s="3" t="s">
        <v>107</v>
      </c>
      <c r="N7" s="1">
        <v>6</v>
      </c>
      <c r="O7" s="1" t="s">
        <v>198</v>
      </c>
    </row>
    <row r="8" spans="1:15" x14ac:dyDescent="0.25">
      <c r="A8" s="1">
        <v>6</v>
      </c>
      <c r="B8" s="1" t="s">
        <v>89</v>
      </c>
      <c r="C8" s="1">
        <v>1</v>
      </c>
      <c r="D8" s="1" t="s">
        <v>90</v>
      </c>
      <c r="F8" s="2" t="s">
        <v>158</v>
      </c>
      <c r="G8" s="2" t="s">
        <v>107</v>
      </c>
      <c r="I8" s="1" t="s">
        <v>163</v>
      </c>
      <c r="J8" s="1" t="s">
        <v>164</v>
      </c>
      <c r="K8" s="1">
        <v>1</v>
      </c>
      <c r="N8" s="1">
        <v>7</v>
      </c>
      <c r="O8" s="1" t="s">
        <v>199</v>
      </c>
    </row>
    <row r="9" spans="1:15" x14ac:dyDescent="0.25">
      <c r="A9" s="1">
        <v>7</v>
      </c>
      <c r="B9" s="1" t="s">
        <v>29</v>
      </c>
      <c r="C9" s="1">
        <v>4</v>
      </c>
      <c r="D9" s="1" t="s">
        <v>30</v>
      </c>
      <c r="F9" s="1" t="s">
        <v>113</v>
      </c>
      <c r="G9" s="1">
        <v>1</v>
      </c>
      <c r="I9" s="1" t="s">
        <v>165</v>
      </c>
      <c r="J9" s="1" t="s">
        <v>166</v>
      </c>
      <c r="K9" s="1">
        <v>2</v>
      </c>
      <c r="N9" s="1">
        <v>8</v>
      </c>
      <c r="O9" s="1" t="s">
        <v>200</v>
      </c>
    </row>
    <row r="10" spans="1:15" x14ac:dyDescent="0.25">
      <c r="A10" s="1">
        <v>8</v>
      </c>
      <c r="B10" s="1" t="s">
        <v>40</v>
      </c>
      <c r="C10" s="1">
        <v>9</v>
      </c>
      <c r="D10" s="1" t="s">
        <v>28</v>
      </c>
      <c r="F10" s="1" t="s">
        <v>114</v>
      </c>
      <c r="G10" s="1">
        <v>2</v>
      </c>
      <c r="I10" s="1" t="s">
        <v>114</v>
      </c>
      <c r="J10" s="1" t="s">
        <v>167</v>
      </c>
      <c r="K10" s="1">
        <v>4</v>
      </c>
      <c r="N10" s="1">
        <v>9</v>
      </c>
      <c r="O10" s="1" t="s">
        <v>201</v>
      </c>
    </row>
    <row r="11" spans="1:15" x14ac:dyDescent="0.25">
      <c r="A11" s="1">
        <v>9</v>
      </c>
      <c r="B11" s="1" t="s">
        <v>57</v>
      </c>
      <c r="C11" s="1">
        <v>1</v>
      </c>
      <c r="D11" s="1" t="s">
        <v>58</v>
      </c>
      <c r="F11" s="1" t="s">
        <v>115</v>
      </c>
      <c r="G11" s="1">
        <v>3</v>
      </c>
      <c r="I11" s="1" t="s">
        <v>168</v>
      </c>
      <c r="J11" s="1" t="s">
        <v>169</v>
      </c>
      <c r="K11" s="1">
        <v>5</v>
      </c>
      <c r="N11" s="1">
        <v>10</v>
      </c>
      <c r="O11" s="1" t="s">
        <v>202</v>
      </c>
    </row>
    <row r="12" spans="1:15" x14ac:dyDescent="0.25">
      <c r="A12" s="1">
        <v>10</v>
      </c>
      <c r="B12" s="1" t="s">
        <v>91</v>
      </c>
      <c r="C12" s="1"/>
      <c r="D12" s="1" t="s">
        <v>92</v>
      </c>
      <c r="F12" s="1" t="s">
        <v>116</v>
      </c>
      <c r="G12" s="1">
        <v>4</v>
      </c>
      <c r="I12" s="1" t="s">
        <v>170</v>
      </c>
      <c r="J12" s="1" t="s">
        <v>171</v>
      </c>
      <c r="K12" s="1">
        <v>6</v>
      </c>
      <c r="N12" s="1">
        <v>11</v>
      </c>
      <c r="O12" s="1" t="s">
        <v>203</v>
      </c>
    </row>
    <row r="13" spans="1:15" x14ac:dyDescent="0.25">
      <c r="A13" s="1">
        <v>11</v>
      </c>
      <c r="B13" s="1" t="s">
        <v>93</v>
      </c>
      <c r="C13" s="1"/>
      <c r="D13" s="1" t="s">
        <v>75</v>
      </c>
      <c r="F13" s="1" t="s">
        <v>117</v>
      </c>
      <c r="G13" s="1">
        <v>5</v>
      </c>
      <c r="I13" s="1" t="s">
        <v>172</v>
      </c>
      <c r="J13" s="1" t="s">
        <v>173</v>
      </c>
      <c r="K13" s="1">
        <v>7</v>
      </c>
      <c r="N13" s="1">
        <v>12</v>
      </c>
      <c r="O13" s="1" t="s">
        <v>204</v>
      </c>
    </row>
    <row r="14" spans="1:15" x14ac:dyDescent="0.25">
      <c r="A14" s="1">
        <v>12</v>
      </c>
      <c r="B14" s="1" t="s">
        <v>97</v>
      </c>
      <c r="C14" s="1">
        <v>1</v>
      </c>
      <c r="D14" s="1" t="s">
        <v>98</v>
      </c>
      <c r="F14" s="1" t="s">
        <v>118</v>
      </c>
      <c r="G14" s="1">
        <v>6</v>
      </c>
      <c r="I14" s="1" t="s">
        <v>174</v>
      </c>
      <c r="J14" s="1" t="s">
        <v>175</v>
      </c>
      <c r="K14" s="1">
        <v>8</v>
      </c>
      <c r="N14" s="1">
        <v>13</v>
      </c>
      <c r="O14" s="1" t="s">
        <v>205</v>
      </c>
    </row>
    <row r="15" spans="1:15" x14ac:dyDescent="0.25">
      <c r="A15" s="1">
        <v>13</v>
      </c>
      <c r="B15" s="1" t="s">
        <v>5</v>
      </c>
      <c r="C15" s="1">
        <v>1</v>
      </c>
      <c r="D15" s="1" t="s">
        <v>6</v>
      </c>
      <c r="F15" s="1" t="s">
        <v>119</v>
      </c>
      <c r="G15" s="1">
        <v>7</v>
      </c>
      <c r="I15" s="1" t="s">
        <v>176</v>
      </c>
      <c r="J15" s="1" t="s">
        <v>177</v>
      </c>
      <c r="K15" s="1">
        <v>9</v>
      </c>
      <c r="N15" s="1">
        <v>14</v>
      </c>
      <c r="O15" s="1" t="s">
        <v>206</v>
      </c>
    </row>
    <row r="16" spans="1:15" x14ac:dyDescent="0.25">
      <c r="A16" s="1">
        <v>14</v>
      </c>
      <c r="B16" s="1" t="s">
        <v>17</v>
      </c>
      <c r="C16" s="1">
        <v>6</v>
      </c>
      <c r="D16" s="1" t="s">
        <v>18</v>
      </c>
      <c r="F16" s="1" t="s">
        <v>120</v>
      </c>
      <c r="G16" s="1">
        <v>8</v>
      </c>
      <c r="I16" s="1" t="s">
        <v>178</v>
      </c>
      <c r="J16" s="1" t="s">
        <v>179</v>
      </c>
      <c r="K16" s="1">
        <v>10</v>
      </c>
      <c r="N16" s="1">
        <v>15</v>
      </c>
      <c r="O16" s="1" t="s">
        <v>207</v>
      </c>
    </row>
    <row r="17" spans="1:15" x14ac:dyDescent="0.25">
      <c r="A17" s="1">
        <v>15</v>
      </c>
      <c r="B17" s="1" t="s">
        <v>66</v>
      </c>
      <c r="C17" s="1">
        <v>4</v>
      </c>
      <c r="D17" s="1" t="s">
        <v>8</v>
      </c>
      <c r="F17" s="1" t="s">
        <v>121</v>
      </c>
      <c r="G17" s="1">
        <v>9</v>
      </c>
      <c r="N17" s="1">
        <v>16</v>
      </c>
      <c r="O17" s="9" t="s">
        <v>231</v>
      </c>
    </row>
    <row r="18" spans="1:15" x14ac:dyDescent="0.25">
      <c r="A18" s="1">
        <v>16</v>
      </c>
      <c r="B18" s="1" t="s">
        <v>36</v>
      </c>
      <c r="C18" s="1">
        <v>10</v>
      </c>
      <c r="D18" s="1" t="s">
        <v>28</v>
      </c>
      <c r="F18" s="1" t="s">
        <v>122</v>
      </c>
      <c r="G18" s="1">
        <v>10</v>
      </c>
      <c r="N18" s="1">
        <v>17</v>
      </c>
      <c r="O18" s="1" t="s">
        <v>208</v>
      </c>
    </row>
    <row r="19" spans="1:15" x14ac:dyDescent="0.25">
      <c r="A19" s="1">
        <v>17</v>
      </c>
      <c r="B19" s="1" t="s">
        <v>39</v>
      </c>
      <c r="C19" s="1">
        <v>5</v>
      </c>
      <c r="D19" s="1" t="s">
        <v>28</v>
      </c>
      <c r="F19" s="1" t="s">
        <v>123</v>
      </c>
      <c r="G19" s="1">
        <v>11</v>
      </c>
      <c r="N19" s="1">
        <v>18</v>
      </c>
      <c r="O19" s="1" t="s">
        <v>209</v>
      </c>
    </row>
    <row r="20" spans="1:15" x14ac:dyDescent="0.25">
      <c r="A20" s="1">
        <v>18</v>
      </c>
      <c r="B20" s="1" t="s">
        <v>31</v>
      </c>
      <c r="C20" s="1">
        <v>5</v>
      </c>
      <c r="D20" s="1" t="s">
        <v>11</v>
      </c>
      <c r="F20" s="1" t="s">
        <v>124</v>
      </c>
      <c r="G20" s="1">
        <v>12</v>
      </c>
      <c r="N20" s="1">
        <v>19</v>
      </c>
      <c r="O20" s="1" t="s">
        <v>210</v>
      </c>
    </row>
    <row r="21" spans="1:15" x14ac:dyDescent="0.25">
      <c r="A21" s="1">
        <v>19</v>
      </c>
      <c r="B21" s="1" t="s">
        <v>3</v>
      </c>
      <c r="C21" s="1">
        <v>1</v>
      </c>
      <c r="D21" s="1" t="s">
        <v>4</v>
      </c>
      <c r="F21" s="1" t="s">
        <v>125</v>
      </c>
      <c r="G21" s="1">
        <v>13</v>
      </c>
      <c r="N21" s="1">
        <v>20</v>
      </c>
      <c r="O21" s="1" t="s">
        <v>211</v>
      </c>
    </row>
    <row r="22" spans="1:15" x14ac:dyDescent="0.25">
      <c r="A22" s="1">
        <v>20</v>
      </c>
      <c r="B22" s="1" t="s">
        <v>23</v>
      </c>
      <c r="C22" s="1">
        <v>1</v>
      </c>
      <c r="D22" s="1" t="s">
        <v>24</v>
      </c>
      <c r="F22" s="1" t="s">
        <v>126</v>
      </c>
      <c r="G22" s="1">
        <v>14</v>
      </c>
      <c r="N22" s="1">
        <v>21</v>
      </c>
      <c r="O22" s="1" t="s">
        <v>212</v>
      </c>
    </row>
    <row r="23" spans="1:15" x14ac:dyDescent="0.25">
      <c r="A23" s="1">
        <v>21</v>
      </c>
      <c r="B23" s="1" t="s">
        <v>81</v>
      </c>
      <c r="C23" s="1">
        <v>1</v>
      </c>
      <c r="D23" s="1" t="s">
        <v>82</v>
      </c>
      <c r="F23" s="1" t="s">
        <v>127</v>
      </c>
      <c r="G23" s="1">
        <v>15</v>
      </c>
      <c r="N23" s="1">
        <v>22</v>
      </c>
      <c r="O23" s="1" t="s">
        <v>213</v>
      </c>
    </row>
    <row r="24" spans="1:15" x14ac:dyDescent="0.25">
      <c r="A24" s="1">
        <v>22</v>
      </c>
      <c r="B24" s="1" t="s">
        <v>71</v>
      </c>
      <c r="C24" s="1">
        <v>1</v>
      </c>
      <c r="D24" s="1" t="s">
        <v>72</v>
      </c>
      <c r="F24" s="1" t="s">
        <v>128</v>
      </c>
      <c r="G24" s="1">
        <v>16</v>
      </c>
      <c r="N24" s="1">
        <v>23</v>
      </c>
      <c r="O24" s="1" t="s">
        <v>214</v>
      </c>
    </row>
    <row r="25" spans="1:15" x14ac:dyDescent="0.25">
      <c r="A25" s="1">
        <v>23</v>
      </c>
      <c r="B25" s="1" t="s">
        <v>44</v>
      </c>
      <c r="C25" s="1">
        <v>1</v>
      </c>
      <c r="D25" s="1" t="s">
        <v>45</v>
      </c>
      <c r="F25" s="1" t="s">
        <v>129</v>
      </c>
      <c r="G25" s="1">
        <v>17</v>
      </c>
      <c r="N25" s="1">
        <v>24</v>
      </c>
      <c r="O25" s="1" t="s">
        <v>215</v>
      </c>
    </row>
    <row r="26" spans="1:15" x14ac:dyDescent="0.25">
      <c r="A26" s="1">
        <v>24</v>
      </c>
      <c r="B26" s="1" t="s">
        <v>105</v>
      </c>
      <c r="C26" s="1">
        <v>7</v>
      </c>
      <c r="D26" s="1" t="s">
        <v>28</v>
      </c>
      <c r="F26" s="1" t="s">
        <v>130</v>
      </c>
      <c r="G26" s="1">
        <v>18</v>
      </c>
      <c r="N26" s="1">
        <v>25</v>
      </c>
      <c r="O26" s="1" t="s">
        <v>216</v>
      </c>
    </row>
    <row r="27" spans="1:15" x14ac:dyDescent="0.25">
      <c r="A27" s="1">
        <v>25</v>
      </c>
      <c r="B27" s="1" t="s">
        <v>103</v>
      </c>
      <c r="C27" s="1">
        <v>10</v>
      </c>
      <c r="D27" s="1" t="s">
        <v>104</v>
      </c>
      <c r="F27" s="1" t="s">
        <v>131</v>
      </c>
      <c r="G27" s="1">
        <v>19</v>
      </c>
      <c r="N27" s="1">
        <v>26</v>
      </c>
      <c r="O27" s="1" t="s">
        <v>217</v>
      </c>
    </row>
    <row r="28" spans="1:15" x14ac:dyDescent="0.25">
      <c r="A28" s="1">
        <v>26</v>
      </c>
      <c r="B28" s="1" t="s">
        <v>60</v>
      </c>
      <c r="C28" s="1">
        <v>1</v>
      </c>
      <c r="D28" s="1" t="s">
        <v>61</v>
      </c>
      <c r="F28" s="1" t="s">
        <v>132</v>
      </c>
      <c r="G28" s="1">
        <v>20</v>
      </c>
      <c r="N28" s="1">
        <v>27</v>
      </c>
      <c r="O28" s="1" t="s">
        <v>218</v>
      </c>
    </row>
    <row r="29" spans="1:15" x14ac:dyDescent="0.25">
      <c r="A29" s="1">
        <v>27</v>
      </c>
      <c r="B29" s="1" t="s">
        <v>12</v>
      </c>
      <c r="C29" s="1">
        <v>1</v>
      </c>
      <c r="D29" s="1" t="s">
        <v>8</v>
      </c>
      <c r="F29" s="1" t="s">
        <v>133</v>
      </c>
      <c r="G29" s="1">
        <v>21</v>
      </c>
      <c r="N29" s="1">
        <v>28</v>
      </c>
      <c r="O29" s="1" t="s">
        <v>219</v>
      </c>
    </row>
    <row r="30" spans="1:15" x14ac:dyDescent="0.25">
      <c r="A30" s="1">
        <v>28</v>
      </c>
      <c r="B30" s="1" t="s">
        <v>32</v>
      </c>
      <c r="C30" s="1">
        <v>1</v>
      </c>
      <c r="D30" s="1" t="s">
        <v>8</v>
      </c>
      <c r="F30" s="1" t="s">
        <v>134</v>
      </c>
      <c r="G30" s="1">
        <v>22</v>
      </c>
      <c r="N30" s="1">
        <v>29</v>
      </c>
      <c r="O30" s="1" t="s">
        <v>220</v>
      </c>
    </row>
    <row r="31" spans="1:15" x14ac:dyDescent="0.25">
      <c r="A31" s="1">
        <v>29</v>
      </c>
      <c r="B31" s="1" t="s">
        <v>94</v>
      </c>
      <c r="C31" s="1">
        <v>6</v>
      </c>
      <c r="D31" s="1" t="s">
        <v>34</v>
      </c>
      <c r="F31" s="1" t="s">
        <v>135</v>
      </c>
      <c r="G31" s="1">
        <v>23</v>
      </c>
      <c r="N31" s="1">
        <v>30</v>
      </c>
      <c r="O31" s="1" t="s">
        <v>221</v>
      </c>
    </row>
    <row r="32" spans="1:15" x14ac:dyDescent="0.25">
      <c r="A32" s="1">
        <v>30</v>
      </c>
      <c r="B32" s="1" t="s">
        <v>74</v>
      </c>
      <c r="C32" s="1">
        <v>9</v>
      </c>
      <c r="D32" s="1" t="s">
        <v>75</v>
      </c>
      <c r="F32" s="1" t="s">
        <v>136</v>
      </c>
      <c r="G32" s="1">
        <v>24</v>
      </c>
      <c r="N32" s="1">
        <v>31</v>
      </c>
      <c r="O32" s="1" t="s">
        <v>222</v>
      </c>
    </row>
    <row r="33" spans="1:15" x14ac:dyDescent="0.25">
      <c r="A33" s="1">
        <v>31</v>
      </c>
      <c r="B33" s="1" t="s">
        <v>49</v>
      </c>
      <c r="C33" s="1">
        <v>2</v>
      </c>
      <c r="D33" s="1" t="s">
        <v>50</v>
      </c>
      <c r="F33" s="1" t="s">
        <v>137</v>
      </c>
      <c r="G33" s="1">
        <v>25</v>
      </c>
      <c r="N33" s="1">
        <v>32</v>
      </c>
      <c r="O33" s="1" t="s">
        <v>223</v>
      </c>
    </row>
    <row r="34" spans="1:15" x14ac:dyDescent="0.25">
      <c r="A34" s="1">
        <v>32</v>
      </c>
      <c r="B34" s="1" t="s">
        <v>99</v>
      </c>
      <c r="C34" s="1">
        <v>7</v>
      </c>
      <c r="D34" s="1" t="s">
        <v>100</v>
      </c>
      <c r="N34" s="1">
        <v>33</v>
      </c>
      <c r="O34" s="1" t="s">
        <v>224</v>
      </c>
    </row>
    <row r="35" spans="1:15" x14ac:dyDescent="0.25">
      <c r="A35" s="1">
        <v>33</v>
      </c>
      <c r="B35" s="1" t="s">
        <v>53</v>
      </c>
      <c r="C35" s="1">
        <v>1</v>
      </c>
      <c r="D35" s="1" t="s">
        <v>54</v>
      </c>
      <c r="F35" s="89" t="s">
        <v>142</v>
      </c>
      <c r="G35" s="90"/>
      <c r="N35" s="1">
        <v>34</v>
      </c>
      <c r="O35" s="1" t="s">
        <v>225</v>
      </c>
    </row>
    <row r="36" spans="1:15" x14ac:dyDescent="0.25">
      <c r="A36" s="1">
        <v>34</v>
      </c>
      <c r="B36" s="1" t="s">
        <v>64</v>
      </c>
      <c r="C36" s="1">
        <v>1</v>
      </c>
      <c r="D36" s="1" t="s">
        <v>65</v>
      </c>
      <c r="F36" s="3" t="s">
        <v>143</v>
      </c>
      <c r="G36" s="3" t="s">
        <v>144</v>
      </c>
      <c r="N36" s="1">
        <v>35</v>
      </c>
      <c r="O36" s="1" t="s">
        <v>226</v>
      </c>
    </row>
    <row r="37" spans="1:15" x14ac:dyDescent="0.25">
      <c r="A37" s="1">
        <v>35</v>
      </c>
      <c r="B37" s="1" t="s">
        <v>41</v>
      </c>
      <c r="C37" s="1"/>
      <c r="D37" s="1" t="s">
        <v>8</v>
      </c>
      <c r="F37" s="1" t="s">
        <v>145</v>
      </c>
      <c r="G37" s="1">
        <v>1</v>
      </c>
      <c r="N37" s="1">
        <v>36</v>
      </c>
      <c r="O37" s="1" t="s">
        <v>227</v>
      </c>
    </row>
    <row r="38" spans="1:15" x14ac:dyDescent="0.25">
      <c r="A38" s="1">
        <v>36</v>
      </c>
      <c r="B38" s="1" t="s">
        <v>76</v>
      </c>
      <c r="C38" s="1">
        <v>8</v>
      </c>
      <c r="D38" s="1" t="s">
        <v>77</v>
      </c>
      <c r="F38" s="1" t="s">
        <v>146</v>
      </c>
      <c r="G38" s="1">
        <v>2</v>
      </c>
      <c r="N38" s="1">
        <v>37</v>
      </c>
      <c r="O38" s="1" t="s">
        <v>228</v>
      </c>
    </row>
    <row r="39" spans="1:15" x14ac:dyDescent="0.25">
      <c r="A39" s="1">
        <v>37</v>
      </c>
      <c r="B39" s="1" t="s">
        <v>51</v>
      </c>
      <c r="C39" s="1">
        <v>1</v>
      </c>
      <c r="D39" s="1" t="s">
        <v>52</v>
      </c>
      <c r="F39" s="1" t="s">
        <v>147</v>
      </c>
      <c r="G39" s="1">
        <v>3</v>
      </c>
      <c r="N39" s="1">
        <v>38</v>
      </c>
      <c r="O39" s="1" t="s">
        <v>229</v>
      </c>
    </row>
    <row r="40" spans="1:15" x14ac:dyDescent="0.25">
      <c r="A40" s="1">
        <v>38</v>
      </c>
      <c r="B40" s="1" t="s">
        <v>83</v>
      </c>
      <c r="C40" s="1">
        <v>1</v>
      </c>
      <c r="D40" s="1" t="s">
        <v>84</v>
      </c>
      <c r="F40" s="1" t="s">
        <v>148</v>
      </c>
      <c r="G40" s="1">
        <v>4</v>
      </c>
      <c r="N40" s="1">
        <v>39</v>
      </c>
      <c r="O40" s="1" t="s">
        <v>230</v>
      </c>
    </row>
    <row r="41" spans="1:15" x14ac:dyDescent="0.25">
      <c r="A41" s="1">
        <v>39</v>
      </c>
      <c r="B41" s="1" t="s">
        <v>47</v>
      </c>
      <c r="C41" s="1">
        <v>4</v>
      </c>
      <c r="D41" s="1" t="s">
        <v>28</v>
      </c>
      <c r="F41" s="1" t="s">
        <v>149</v>
      </c>
      <c r="G41" s="1">
        <v>5</v>
      </c>
      <c r="N41" s="1">
        <v>40</v>
      </c>
      <c r="O41" s="1" t="s">
        <v>292</v>
      </c>
    </row>
    <row r="42" spans="1:15" x14ac:dyDescent="0.25">
      <c r="A42" s="1">
        <v>40</v>
      </c>
      <c r="B42" s="1" t="s">
        <v>69</v>
      </c>
      <c r="C42" s="1">
        <v>1</v>
      </c>
      <c r="D42" s="1" t="s">
        <v>70</v>
      </c>
      <c r="F42" s="1" t="s">
        <v>150</v>
      </c>
      <c r="G42" s="1">
        <v>6</v>
      </c>
      <c r="N42" s="1">
        <v>41</v>
      </c>
      <c r="O42" s="1" t="s">
        <v>293</v>
      </c>
    </row>
    <row r="43" spans="1:15" x14ac:dyDescent="0.25">
      <c r="A43" s="1">
        <v>41</v>
      </c>
      <c r="B43" s="1" t="s">
        <v>48</v>
      </c>
      <c r="C43" s="1">
        <v>1</v>
      </c>
      <c r="D43" s="1" t="s">
        <v>28</v>
      </c>
      <c r="F43" s="1" t="s">
        <v>151</v>
      </c>
      <c r="G43" s="1">
        <v>7</v>
      </c>
      <c r="N43" s="1">
        <v>42</v>
      </c>
      <c r="O43" s="1" t="s">
        <v>294</v>
      </c>
    </row>
    <row r="44" spans="1:15" x14ac:dyDescent="0.25">
      <c r="A44" s="1">
        <v>42</v>
      </c>
      <c r="B44" s="1" t="s">
        <v>73</v>
      </c>
      <c r="C44" s="1">
        <v>9</v>
      </c>
      <c r="D44" s="1" t="s">
        <v>50</v>
      </c>
      <c r="F44" s="1" t="s">
        <v>152</v>
      </c>
      <c r="G44" s="1">
        <v>8</v>
      </c>
      <c r="N44" s="1">
        <v>43</v>
      </c>
      <c r="O44" s="1" t="s">
        <v>295</v>
      </c>
    </row>
    <row r="45" spans="1:15" x14ac:dyDescent="0.25">
      <c r="A45" s="1">
        <v>43</v>
      </c>
      <c r="B45" s="1" t="s">
        <v>95</v>
      </c>
      <c r="C45" s="1">
        <v>1</v>
      </c>
      <c r="D45" s="1" t="s">
        <v>96</v>
      </c>
      <c r="F45" s="1" t="s">
        <v>153</v>
      </c>
      <c r="G45" s="1">
        <v>9</v>
      </c>
      <c r="N45" s="1">
        <v>44</v>
      </c>
      <c r="O45" s="1" t="s">
        <v>296</v>
      </c>
    </row>
    <row r="46" spans="1:15" x14ac:dyDescent="0.25">
      <c r="A46" s="1">
        <v>44</v>
      </c>
      <c r="B46" s="1" t="s">
        <v>55</v>
      </c>
      <c r="C46" s="1">
        <v>1</v>
      </c>
      <c r="D46" s="1" t="s">
        <v>56</v>
      </c>
      <c r="F46" s="1" t="s">
        <v>154</v>
      </c>
      <c r="G46" s="1">
        <v>10</v>
      </c>
      <c r="N46" s="1">
        <v>45</v>
      </c>
      <c r="O46" s="1"/>
    </row>
    <row r="47" spans="1:15" x14ac:dyDescent="0.25">
      <c r="A47" s="1">
        <v>45</v>
      </c>
      <c r="B47" s="1" t="s">
        <v>101</v>
      </c>
      <c r="C47" s="1">
        <v>4</v>
      </c>
      <c r="D47" s="1" t="s">
        <v>18</v>
      </c>
      <c r="F47" s="1" t="s">
        <v>155</v>
      </c>
      <c r="G47" s="1">
        <v>11</v>
      </c>
      <c r="N47" s="1">
        <v>46</v>
      </c>
      <c r="O47" s="1"/>
    </row>
    <row r="48" spans="1:15" x14ac:dyDescent="0.25">
      <c r="A48" s="1">
        <v>46</v>
      </c>
      <c r="B48" s="1" t="s">
        <v>87</v>
      </c>
      <c r="C48" s="1">
        <v>1</v>
      </c>
      <c r="D48" s="1" t="s">
        <v>88</v>
      </c>
      <c r="F48" s="1" t="s">
        <v>156</v>
      </c>
      <c r="G48" s="1">
        <v>12</v>
      </c>
      <c r="N48" s="1">
        <v>47</v>
      </c>
      <c r="O48" s="1"/>
    </row>
    <row r="49" spans="1:15" x14ac:dyDescent="0.25">
      <c r="A49" s="1">
        <v>47</v>
      </c>
      <c r="B49" s="1" t="s">
        <v>16</v>
      </c>
      <c r="C49" s="1"/>
      <c r="D49" s="1" t="s">
        <v>8</v>
      </c>
      <c r="N49" s="1">
        <v>48</v>
      </c>
      <c r="O49" s="1"/>
    </row>
    <row r="50" spans="1:15" x14ac:dyDescent="0.25">
      <c r="A50" s="1">
        <v>48</v>
      </c>
      <c r="B50" s="1" t="s">
        <v>80</v>
      </c>
      <c r="C50" s="1">
        <v>4</v>
      </c>
      <c r="D50" s="1" t="s">
        <v>75</v>
      </c>
      <c r="N50" s="1">
        <v>49</v>
      </c>
      <c r="O50" s="1"/>
    </row>
    <row r="51" spans="1:15" x14ac:dyDescent="0.25">
      <c r="A51" s="1">
        <v>49</v>
      </c>
      <c r="B51" s="1" t="s">
        <v>27</v>
      </c>
      <c r="C51" s="1">
        <v>8</v>
      </c>
      <c r="D51" s="1" t="s">
        <v>28</v>
      </c>
      <c r="F51" s="5" t="s">
        <v>190</v>
      </c>
      <c r="N51" s="1">
        <v>50</v>
      </c>
      <c r="O51" s="1"/>
    </row>
    <row r="52" spans="1:15" x14ac:dyDescent="0.25">
      <c r="A52" s="1">
        <v>50</v>
      </c>
      <c r="B52" s="1" t="s">
        <v>67</v>
      </c>
      <c r="C52" s="1">
        <v>1</v>
      </c>
      <c r="D52" s="1" t="s">
        <v>68</v>
      </c>
      <c r="F52" s="6" t="str">
        <f ca="1">UPPER(TEXT(TODAY(),"mmmm"))</f>
        <v>AGOSTO</v>
      </c>
      <c r="N52" s="1">
        <v>51</v>
      </c>
      <c r="O52" s="1"/>
    </row>
    <row r="53" spans="1:15" x14ac:dyDescent="0.25">
      <c r="A53" s="1">
        <v>51</v>
      </c>
      <c r="B53" s="1" t="s">
        <v>33</v>
      </c>
      <c r="C53" s="1">
        <v>1</v>
      </c>
      <c r="D53" s="1" t="s">
        <v>34</v>
      </c>
      <c r="N53" s="1">
        <v>52</v>
      </c>
      <c r="O53" s="1"/>
    </row>
    <row r="54" spans="1:15" x14ac:dyDescent="0.25">
      <c r="A54" s="1">
        <v>52</v>
      </c>
      <c r="B54" s="1" t="s">
        <v>19</v>
      </c>
      <c r="C54" s="1">
        <v>1</v>
      </c>
      <c r="D54" s="1" t="s">
        <v>20</v>
      </c>
      <c r="F54" s="5" t="s">
        <v>234</v>
      </c>
      <c r="N54" s="1">
        <v>53</v>
      </c>
      <c r="O54" s="1"/>
    </row>
    <row r="55" spans="1:15" x14ac:dyDescent="0.25">
      <c r="A55" s="1">
        <v>53</v>
      </c>
      <c r="B55" s="1" t="s">
        <v>59</v>
      </c>
      <c r="C55" s="1">
        <v>4</v>
      </c>
      <c r="D55" s="1" t="s">
        <v>34</v>
      </c>
      <c r="F55" s="6">
        <f ca="1">YEAR(F58)</f>
        <v>2024</v>
      </c>
      <c r="N55" s="1">
        <v>54</v>
      </c>
      <c r="O55" s="1"/>
    </row>
    <row r="56" spans="1:15" x14ac:dyDescent="0.25">
      <c r="A56" s="1">
        <v>54</v>
      </c>
      <c r="B56" s="1" t="s">
        <v>85</v>
      </c>
      <c r="C56" s="1">
        <v>1</v>
      </c>
      <c r="D56" s="1" t="s">
        <v>86</v>
      </c>
      <c r="N56" s="1">
        <v>55</v>
      </c>
      <c r="O56" s="1"/>
    </row>
    <row r="57" spans="1:15" x14ac:dyDescent="0.25">
      <c r="A57" s="1">
        <v>55</v>
      </c>
      <c r="B57" s="1" t="s">
        <v>15</v>
      </c>
      <c r="C57" s="1">
        <v>4</v>
      </c>
      <c r="D57" s="1" t="s">
        <v>8</v>
      </c>
      <c r="F57" s="19" t="s">
        <v>259</v>
      </c>
      <c r="N57" s="1">
        <v>56</v>
      </c>
      <c r="O57" s="1"/>
    </row>
    <row r="58" spans="1:15" x14ac:dyDescent="0.25">
      <c r="A58" s="1">
        <v>56</v>
      </c>
      <c r="B58" s="1" t="s">
        <v>21</v>
      </c>
      <c r="C58" s="1">
        <v>1</v>
      </c>
      <c r="D58" s="1" t="s">
        <v>22</v>
      </c>
      <c r="F58" s="7">
        <f ca="1">TODAY()</f>
        <v>45527</v>
      </c>
      <c r="N58" s="1">
        <v>57</v>
      </c>
      <c r="O58" s="1"/>
    </row>
    <row r="59" spans="1:15" x14ac:dyDescent="0.25">
      <c r="A59" s="1">
        <v>57</v>
      </c>
      <c r="B59" s="1" t="s">
        <v>10</v>
      </c>
      <c r="C59" s="1">
        <v>8</v>
      </c>
      <c r="D59" s="1" t="s">
        <v>11</v>
      </c>
      <c r="N59" s="1">
        <v>58</v>
      </c>
      <c r="O59" s="1"/>
    </row>
    <row r="60" spans="1:15" x14ac:dyDescent="0.25">
      <c r="A60" s="1">
        <v>58</v>
      </c>
      <c r="B60" s="1" t="s">
        <v>106</v>
      </c>
      <c r="C60" s="1">
        <v>10</v>
      </c>
      <c r="D60" s="1" t="s">
        <v>34</v>
      </c>
      <c r="N60" s="1">
        <v>59</v>
      </c>
      <c r="O60" s="1"/>
    </row>
    <row r="61" spans="1:15" x14ac:dyDescent="0.25">
      <c r="A61" s="1">
        <v>59</v>
      </c>
      <c r="B61" s="1" t="s">
        <v>78</v>
      </c>
      <c r="C61" s="1">
        <v>5</v>
      </c>
      <c r="D61" s="1" t="s">
        <v>79</v>
      </c>
      <c r="N61" s="1">
        <v>60</v>
      </c>
      <c r="O61" s="1"/>
    </row>
    <row r="62" spans="1:15" x14ac:dyDescent="0.25">
      <c r="A62" s="1">
        <v>60</v>
      </c>
      <c r="B62" s="1" t="s">
        <v>9</v>
      </c>
      <c r="C62" s="1">
        <v>5</v>
      </c>
      <c r="D62" s="1" t="s">
        <v>8</v>
      </c>
      <c r="N62" s="1">
        <v>61</v>
      </c>
      <c r="O62" s="1"/>
    </row>
    <row r="63" spans="1:15" x14ac:dyDescent="0.25">
      <c r="A63" s="1">
        <v>61</v>
      </c>
      <c r="B63" s="1" t="s">
        <v>46</v>
      </c>
      <c r="C63" s="1">
        <v>1</v>
      </c>
      <c r="D63" s="1" t="s">
        <v>30</v>
      </c>
      <c r="N63" s="1">
        <v>62</v>
      </c>
      <c r="O63" s="1"/>
    </row>
    <row r="64" spans="1:15" x14ac:dyDescent="0.25">
      <c r="A64" s="1">
        <v>62</v>
      </c>
      <c r="B64" s="1" t="s">
        <v>102</v>
      </c>
      <c r="C64" s="1">
        <v>4</v>
      </c>
      <c r="D64" s="1" t="s">
        <v>11</v>
      </c>
      <c r="N64" s="1">
        <v>63</v>
      </c>
      <c r="O64" s="1"/>
    </row>
    <row r="65" spans="1:15" x14ac:dyDescent="0.25">
      <c r="A65" s="1">
        <v>63</v>
      </c>
      <c r="B65" s="1" t="s">
        <v>62</v>
      </c>
      <c r="C65" s="1">
        <v>8</v>
      </c>
      <c r="D65" s="1" t="s">
        <v>63</v>
      </c>
      <c r="N65" s="1">
        <v>64</v>
      </c>
      <c r="O65" s="1"/>
    </row>
    <row r="66" spans="1:15" x14ac:dyDescent="0.25">
      <c r="A66" s="1">
        <v>64</v>
      </c>
      <c r="B66" s="1" t="s">
        <v>13</v>
      </c>
      <c r="C66" s="1">
        <v>1</v>
      </c>
      <c r="D66" s="1" t="s">
        <v>14</v>
      </c>
      <c r="N66" s="1">
        <v>65</v>
      </c>
      <c r="O66" s="1"/>
    </row>
    <row r="67" spans="1:15" x14ac:dyDescent="0.25">
      <c r="N67" s="1">
        <v>66</v>
      </c>
      <c r="O67" s="1"/>
    </row>
    <row r="68" spans="1:15" x14ac:dyDescent="0.25">
      <c r="N68" s="1">
        <v>67</v>
      </c>
      <c r="O68" s="1"/>
    </row>
    <row r="69" spans="1:15" x14ac:dyDescent="0.25">
      <c r="N69" s="1">
        <v>68</v>
      </c>
      <c r="O69" s="1"/>
    </row>
    <row r="70" spans="1:15" x14ac:dyDescent="0.25">
      <c r="N70" s="1">
        <v>69</v>
      </c>
      <c r="O70" s="1"/>
    </row>
    <row r="71" spans="1:15" x14ac:dyDescent="0.25">
      <c r="N71" s="1">
        <v>70</v>
      </c>
      <c r="O71" s="1"/>
    </row>
    <row r="72" spans="1:15" x14ac:dyDescent="0.25">
      <c r="N72" s="1">
        <v>71</v>
      </c>
      <c r="O72" s="1"/>
    </row>
    <row r="73" spans="1:15" x14ac:dyDescent="0.25">
      <c r="N73" s="1">
        <v>72</v>
      </c>
      <c r="O73" s="1"/>
    </row>
    <row r="74" spans="1:15" x14ac:dyDescent="0.25">
      <c r="N74" s="1">
        <v>73</v>
      </c>
      <c r="O74" s="1"/>
    </row>
    <row r="75" spans="1:15" x14ac:dyDescent="0.25">
      <c r="N75" s="1">
        <v>74</v>
      </c>
      <c r="O75" s="1"/>
    </row>
    <row r="76" spans="1:15" x14ac:dyDescent="0.25">
      <c r="N76" s="1">
        <v>75</v>
      </c>
      <c r="O76" s="1"/>
    </row>
    <row r="77" spans="1:15" x14ac:dyDescent="0.25">
      <c r="N77" s="1">
        <v>76</v>
      </c>
      <c r="O77" s="1"/>
    </row>
    <row r="78" spans="1:15" x14ac:dyDescent="0.25">
      <c r="N78" s="1">
        <v>77</v>
      </c>
      <c r="O78" s="1"/>
    </row>
    <row r="79" spans="1:15" x14ac:dyDescent="0.25">
      <c r="N79" s="1">
        <v>78</v>
      </c>
      <c r="O79" s="1"/>
    </row>
    <row r="80" spans="1:15" x14ac:dyDescent="0.25">
      <c r="N80" s="1">
        <v>79</v>
      </c>
      <c r="O80" s="1"/>
    </row>
    <row r="81" spans="14:15" x14ac:dyDescent="0.25">
      <c r="N81" s="1">
        <v>80</v>
      </c>
      <c r="O81" s="1"/>
    </row>
    <row r="82" spans="14:15" x14ac:dyDescent="0.25">
      <c r="N82" s="1">
        <v>81</v>
      </c>
      <c r="O82" s="1"/>
    </row>
    <row r="83" spans="14:15" x14ac:dyDescent="0.25">
      <c r="N83" s="1">
        <v>82</v>
      </c>
      <c r="O83" s="1"/>
    </row>
    <row r="84" spans="14:15" x14ac:dyDescent="0.25">
      <c r="N84" s="1">
        <v>83</v>
      </c>
      <c r="O84" s="1"/>
    </row>
    <row r="85" spans="14:15" x14ac:dyDescent="0.25">
      <c r="N85" s="1">
        <v>84</v>
      </c>
      <c r="O85" s="1"/>
    </row>
    <row r="86" spans="14:15" x14ac:dyDescent="0.25">
      <c r="N86" s="1">
        <v>85</v>
      </c>
      <c r="O86" s="1"/>
    </row>
    <row r="87" spans="14:15" x14ac:dyDescent="0.25">
      <c r="N87" s="1">
        <v>86</v>
      </c>
      <c r="O87" s="1"/>
    </row>
    <row r="88" spans="14:15" x14ac:dyDescent="0.25">
      <c r="N88" s="1">
        <v>87</v>
      </c>
      <c r="O88" s="1"/>
    </row>
    <row r="89" spans="14:15" x14ac:dyDescent="0.25">
      <c r="N89" s="1">
        <v>88</v>
      </c>
      <c r="O89" s="1"/>
    </row>
    <row r="90" spans="14:15" x14ac:dyDescent="0.25">
      <c r="N90" s="1">
        <v>89</v>
      </c>
      <c r="O90" s="1"/>
    </row>
    <row r="91" spans="14:15" x14ac:dyDescent="0.25">
      <c r="N91" s="1">
        <v>90</v>
      </c>
      <c r="O91" s="1"/>
    </row>
    <row r="92" spans="14:15" x14ac:dyDescent="0.25">
      <c r="N92" s="1">
        <v>91</v>
      </c>
      <c r="O92" s="1"/>
    </row>
    <row r="93" spans="14:15" x14ac:dyDescent="0.25">
      <c r="N93" s="1">
        <v>92</v>
      </c>
      <c r="O93" s="1"/>
    </row>
    <row r="94" spans="14:15" x14ac:dyDescent="0.25">
      <c r="N94" s="1">
        <v>93</v>
      </c>
      <c r="O94" s="1"/>
    </row>
    <row r="95" spans="14:15" x14ac:dyDescent="0.25">
      <c r="N95" s="1">
        <v>94</v>
      </c>
      <c r="O95" s="1"/>
    </row>
    <row r="96" spans="14:15" x14ac:dyDescent="0.25">
      <c r="N96" s="1">
        <v>95</v>
      </c>
      <c r="O96" s="1"/>
    </row>
    <row r="97" spans="14:15" x14ac:dyDescent="0.25">
      <c r="N97" s="1">
        <v>96</v>
      </c>
      <c r="O97" s="1"/>
    </row>
    <row r="98" spans="14:15" x14ac:dyDescent="0.25">
      <c r="N98" s="1">
        <v>97</v>
      </c>
      <c r="O98" s="1"/>
    </row>
    <row r="99" spans="14:15" x14ac:dyDescent="0.25">
      <c r="N99" s="1">
        <v>98</v>
      </c>
      <c r="O99" s="1"/>
    </row>
    <row r="100" spans="14:15" x14ac:dyDescent="0.25">
      <c r="N100" s="1">
        <v>99</v>
      </c>
      <c r="O100" s="1"/>
    </row>
    <row r="101" spans="14:15" x14ac:dyDescent="0.25">
      <c r="N101" s="1">
        <v>100</v>
      </c>
      <c r="O101" s="1"/>
    </row>
  </sheetData>
  <mergeCells count="5">
    <mergeCell ref="I6:K6"/>
    <mergeCell ref="F35:G35"/>
    <mergeCell ref="A1:D1"/>
    <mergeCell ref="F1:G1"/>
    <mergeCell ref="F7:G7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E66E-F9DF-46BE-A2B4-B0CCE1B68833}">
  <sheetPr codeName="Hoja4"/>
  <dimension ref="A1:K133"/>
  <sheetViews>
    <sheetView workbookViewId="0">
      <selection activeCell="E9" sqref="E9"/>
    </sheetView>
  </sheetViews>
  <sheetFormatPr baseColWidth="10" defaultRowHeight="15" x14ac:dyDescent="0.25"/>
  <cols>
    <col min="1" max="1" width="3.7109375" customWidth="1"/>
    <col min="2" max="2" width="29.28515625" customWidth="1"/>
    <col min="3" max="3" width="13.28515625" customWidth="1"/>
    <col min="4" max="4" width="6" bestFit="1" customWidth="1"/>
    <col min="5" max="5" width="6.85546875" customWidth="1"/>
    <col min="6" max="6" width="34.85546875" customWidth="1"/>
    <col min="7" max="7" width="9.85546875" customWidth="1"/>
    <col min="8" max="8" width="16" customWidth="1"/>
    <col min="9" max="9" width="8.5703125" bestFit="1" customWidth="1"/>
    <col min="10" max="10" width="35" customWidth="1"/>
    <col min="11" max="11" width="9" bestFit="1" customWidth="1"/>
  </cols>
  <sheetData>
    <row r="1" spans="1:11" ht="15.75" x14ac:dyDescent="0.25">
      <c r="A1" s="93" t="s">
        <v>268</v>
      </c>
      <c r="B1" s="93"/>
      <c r="C1" s="93"/>
      <c r="D1" s="93"/>
      <c r="E1" s="93"/>
      <c r="F1" s="93"/>
      <c r="G1" s="93"/>
      <c r="H1" s="93"/>
      <c r="I1" s="93"/>
      <c r="J1" s="93"/>
      <c r="K1" s="93"/>
    </row>
    <row r="2" spans="1:11" x14ac:dyDescent="0.25">
      <c r="A2" s="92" t="s">
        <v>269</v>
      </c>
      <c r="B2" s="92"/>
      <c r="C2" s="92"/>
      <c r="D2" s="92"/>
      <c r="E2" s="92"/>
      <c r="F2" s="92"/>
      <c r="G2" s="92"/>
      <c r="H2" s="92"/>
      <c r="I2" s="92"/>
      <c r="J2" s="92"/>
      <c r="K2" s="92"/>
    </row>
    <row r="3" spans="1:11" x14ac:dyDescent="0.25">
      <c r="A3" s="3" t="s">
        <v>107</v>
      </c>
      <c r="B3" s="3" t="s">
        <v>140</v>
      </c>
      <c r="C3" s="3" t="s">
        <v>262</v>
      </c>
      <c r="D3" s="3" t="s">
        <v>263</v>
      </c>
      <c r="E3" s="3" t="s">
        <v>264</v>
      </c>
      <c r="F3" s="3" t="s">
        <v>265</v>
      </c>
      <c r="G3" s="3" t="s">
        <v>267</v>
      </c>
      <c r="H3" s="3" t="s">
        <v>184</v>
      </c>
      <c r="I3" s="3" t="s">
        <v>186</v>
      </c>
      <c r="J3" s="3" t="s">
        <v>266</v>
      </c>
      <c r="K3" s="3" t="s">
        <v>189</v>
      </c>
    </row>
    <row r="4" spans="1:11" x14ac:dyDescent="0.25">
      <c r="A4">
        <v>1</v>
      </c>
      <c r="H4" s="26"/>
    </row>
    <row r="5" spans="1:11" x14ac:dyDescent="0.25">
      <c r="A5">
        <v>2</v>
      </c>
      <c r="H5" s="26"/>
    </row>
    <row r="6" spans="1:11" x14ac:dyDescent="0.25">
      <c r="A6">
        <v>3</v>
      </c>
      <c r="H6" s="26"/>
    </row>
    <row r="7" spans="1:11" x14ac:dyDescent="0.25">
      <c r="A7">
        <v>4</v>
      </c>
      <c r="H7" s="26"/>
    </row>
    <row r="8" spans="1:11" x14ac:dyDescent="0.25">
      <c r="A8">
        <v>5</v>
      </c>
    </row>
    <row r="9" spans="1:11" x14ac:dyDescent="0.25">
      <c r="A9">
        <v>6</v>
      </c>
    </row>
    <row r="10" spans="1:11" x14ac:dyDescent="0.25">
      <c r="A10">
        <v>7</v>
      </c>
    </row>
    <row r="11" spans="1:11" x14ac:dyDescent="0.25">
      <c r="A11">
        <v>8</v>
      </c>
    </row>
    <row r="12" spans="1:11" x14ac:dyDescent="0.25">
      <c r="A12">
        <v>9</v>
      </c>
    </row>
    <row r="13" spans="1:11" x14ac:dyDescent="0.25">
      <c r="A13">
        <v>10</v>
      </c>
    </row>
    <row r="14" spans="1:11" x14ac:dyDescent="0.25">
      <c r="A14">
        <v>11</v>
      </c>
    </row>
    <row r="15" spans="1:11" x14ac:dyDescent="0.25">
      <c r="A15">
        <v>12</v>
      </c>
    </row>
    <row r="16" spans="1:11" x14ac:dyDescent="0.25">
      <c r="A16">
        <v>13</v>
      </c>
    </row>
    <row r="17" spans="1:1" x14ac:dyDescent="0.25">
      <c r="A17">
        <v>14</v>
      </c>
    </row>
    <row r="18" spans="1:1" x14ac:dyDescent="0.25">
      <c r="A18">
        <v>15</v>
      </c>
    </row>
    <row r="19" spans="1:1" x14ac:dyDescent="0.25">
      <c r="A19">
        <v>16</v>
      </c>
    </row>
    <row r="20" spans="1:1" x14ac:dyDescent="0.25">
      <c r="A20">
        <v>17</v>
      </c>
    </row>
    <row r="21" spans="1:1" x14ac:dyDescent="0.25">
      <c r="A21">
        <v>18</v>
      </c>
    </row>
    <row r="22" spans="1:1" x14ac:dyDescent="0.25">
      <c r="A22">
        <v>19</v>
      </c>
    </row>
    <row r="23" spans="1:1" x14ac:dyDescent="0.25">
      <c r="A23">
        <v>20</v>
      </c>
    </row>
    <row r="24" spans="1:1" x14ac:dyDescent="0.25">
      <c r="A24">
        <v>21</v>
      </c>
    </row>
    <row r="25" spans="1:1" x14ac:dyDescent="0.25">
      <c r="A25">
        <v>22</v>
      </c>
    </row>
    <row r="26" spans="1:1" x14ac:dyDescent="0.25">
      <c r="A26">
        <v>23</v>
      </c>
    </row>
    <row r="27" spans="1:1" x14ac:dyDescent="0.25">
      <c r="A27">
        <v>24</v>
      </c>
    </row>
    <row r="28" spans="1:1" x14ac:dyDescent="0.25">
      <c r="A28">
        <v>25</v>
      </c>
    </row>
    <row r="29" spans="1:1" x14ac:dyDescent="0.25">
      <c r="A29">
        <v>26</v>
      </c>
    </row>
    <row r="30" spans="1:1" x14ac:dyDescent="0.25">
      <c r="A30">
        <v>27</v>
      </c>
    </row>
    <row r="31" spans="1:1" x14ac:dyDescent="0.25">
      <c r="A31">
        <v>28</v>
      </c>
    </row>
    <row r="32" spans="1:1" x14ac:dyDescent="0.25">
      <c r="A32">
        <v>29</v>
      </c>
    </row>
    <row r="33" spans="1:1" x14ac:dyDescent="0.25">
      <c r="A33">
        <v>30</v>
      </c>
    </row>
    <row r="34" spans="1:1" x14ac:dyDescent="0.25">
      <c r="A34">
        <v>31</v>
      </c>
    </row>
    <row r="35" spans="1:1" x14ac:dyDescent="0.25">
      <c r="A35">
        <v>32</v>
      </c>
    </row>
    <row r="36" spans="1:1" x14ac:dyDescent="0.25">
      <c r="A36">
        <v>33</v>
      </c>
    </row>
    <row r="37" spans="1:1" x14ac:dyDescent="0.25">
      <c r="A37">
        <v>34</v>
      </c>
    </row>
    <row r="38" spans="1:1" x14ac:dyDescent="0.25">
      <c r="A38">
        <v>35</v>
      </c>
    </row>
    <row r="39" spans="1:1" x14ac:dyDescent="0.25">
      <c r="A39">
        <v>36</v>
      </c>
    </row>
    <row r="40" spans="1:1" x14ac:dyDescent="0.25">
      <c r="A40">
        <v>37</v>
      </c>
    </row>
    <row r="41" spans="1:1" x14ac:dyDescent="0.25">
      <c r="A41">
        <v>38</v>
      </c>
    </row>
    <row r="42" spans="1:1" x14ac:dyDescent="0.25">
      <c r="A42">
        <v>39</v>
      </c>
    </row>
    <row r="43" spans="1:1" x14ac:dyDescent="0.25">
      <c r="A43">
        <v>40</v>
      </c>
    </row>
    <row r="44" spans="1:1" x14ac:dyDescent="0.25">
      <c r="A44">
        <v>41</v>
      </c>
    </row>
    <row r="45" spans="1:1" x14ac:dyDescent="0.25">
      <c r="A45">
        <v>42</v>
      </c>
    </row>
    <row r="46" spans="1:1" x14ac:dyDescent="0.25">
      <c r="A46">
        <v>43</v>
      </c>
    </row>
    <row r="47" spans="1:1" x14ac:dyDescent="0.25">
      <c r="A47">
        <v>44</v>
      </c>
    </row>
    <row r="48" spans="1:1" x14ac:dyDescent="0.25">
      <c r="A48">
        <v>45</v>
      </c>
    </row>
    <row r="49" spans="1:1" x14ac:dyDescent="0.25">
      <c r="A49">
        <v>46</v>
      </c>
    </row>
    <row r="50" spans="1:1" x14ac:dyDescent="0.25">
      <c r="A50">
        <v>47</v>
      </c>
    </row>
    <row r="51" spans="1:1" x14ac:dyDescent="0.25">
      <c r="A51">
        <v>48</v>
      </c>
    </row>
    <row r="52" spans="1:1" x14ac:dyDescent="0.25">
      <c r="A52">
        <v>49</v>
      </c>
    </row>
    <row r="53" spans="1:1" x14ac:dyDescent="0.25">
      <c r="A53">
        <v>50</v>
      </c>
    </row>
    <row r="54" spans="1:1" x14ac:dyDescent="0.25">
      <c r="A54">
        <v>51</v>
      </c>
    </row>
    <row r="55" spans="1:1" x14ac:dyDescent="0.25">
      <c r="A55">
        <v>52</v>
      </c>
    </row>
    <row r="56" spans="1:1" x14ac:dyDescent="0.25">
      <c r="A56">
        <v>53</v>
      </c>
    </row>
    <row r="57" spans="1:1" x14ac:dyDescent="0.25">
      <c r="A57">
        <v>54</v>
      </c>
    </row>
    <row r="58" spans="1:1" x14ac:dyDescent="0.25">
      <c r="A58">
        <v>55</v>
      </c>
    </row>
    <row r="59" spans="1:1" x14ac:dyDescent="0.25">
      <c r="A59">
        <v>56</v>
      </c>
    </row>
    <row r="60" spans="1:1" x14ac:dyDescent="0.25">
      <c r="A60">
        <v>57</v>
      </c>
    </row>
    <row r="61" spans="1:1" x14ac:dyDescent="0.25">
      <c r="A61">
        <v>58</v>
      </c>
    </row>
    <row r="62" spans="1:1" x14ac:dyDescent="0.25">
      <c r="A62">
        <v>59</v>
      </c>
    </row>
    <row r="63" spans="1:1" x14ac:dyDescent="0.25">
      <c r="A63">
        <v>60</v>
      </c>
    </row>
    <row r="64" spans="1:1" x14ac:dyDescent="0.25">
      <c r="A64">
        <v>61</v>
      </c>
    </row>
    <row r="65" spans="1:1" x14ac:dyDescent="0.25">
      <c r="A65">
        <v>62</v>
      </c>
    </row>
    <row r="66" spans="1:1" x14ac:dyDescent="0.25">
      <c r="A66">
        <v>63</v>
      </c>
    </row>
    <row r="67" spans="1:1" x14ac:dyDescent="0.25">
      <c r="A67">
        <v>64</v>
      </c>
    </row>
    <row r="68" spans="1:1" x14ac:dyDescent="0.25">
      <c r="A68">
        <v>65</v>
      </c>
    </row>
    <row r="69" spans="1:1" x14ac:dyDescent="0.25">
      <c r="A69">
        <v>66</v>
      </c>
    </row>
    <row r="70" spans="1:1" x14ac:dyDescent="0.25">
      <c r="A70">
        <v>67</v>
      </c>
    </row>
    <row r="71" spans="1:1" x14ac:dyDescent="0.25">
      <c r="A71">
        <v>68</v>
      </c>
    </row>
    <row r="72" spans="1:1" x14ac:dyDescent="0.25">
      <c r="A72">
        <v>69</v>
      </c>
    </row>
    <row r="73" spans="1:1" x14ac:dyDescent="0.25">
      <c r="A73">
        <v>70</v>
      </c>
    </row>
    <row r="74" spans="1:1" x14ac:dyDescent="0.25">
      <c r="A74">
        <v>71</v>
      </c>
    </row>
    <row r="75" spans="1:1" x14ac:dyDescent="0.25">
      <c r="A75">
        <v>72</v>
      </c>
    </row>
    <row r="76" spans="1:1" x14ac:dyDescent="0.25">
      <c r="A76">
        <v>73</v>
      </c>
    </row>
    <row r="77" spans="1:1" x14ac:dyDescent="0.25">
      <c r="A77">
        <v>74</v>
      </c>
    </row>
    <row r="78" spans="1:1" x14ac:dyDescent="0.25">
      <c r="A78">
        <v>75</v>
      </c>
    </row>
    <row r="79" spans="1:1" x14ac:dyDescent="0.25">
      <c r="A79">
        <v>76</v>
      </c>
    </row>
    <row r="80" spans="1:1" x14ac:dyDescent="0.25">
      <c r="A80">
        <v>77</v>
      </c>
    </row>
    <row r="81" spans="1:1" x14ac:dyDescent="0.25">
      <c r="A81">
        <v>78</v>
      </c>
    </row>
    <row r="82" spans="1:1" x14ac:dyDescent="0.25">
      <c r="A82">
        <v>79</v>
      </c>
    </row>
    <row r="83" spans="1:1" x14ac:dyDescent="0.25">
      <c r="A83">
        <v>80</v>
      </c>
    </row>
    <row r="84" spans="1:1" x14ac:dyDescent="0.25">
      <c r="A84">
        <v>81</v>
      </c>
    </row>
    <row r="85" spans="1:1" x14ac:dyDescent="0.25">
      <c r="A85">
        <v>82</v>
      </c>
    </row>
    <row r="86" spans="1:1" x14ac:dyDescent="0.25">
      <c r="A86">
        <v>83</v>
      </c>
    </row>
    <row r="87" spans="1:1" x14ac:dyDescent="0.25">
      <c r="A87">
        <v>84</v>
      </c>
    </row>
    <row r="88" spans="1:1" x14ac:dyDescent="0.25">
      <c r="A88">
        <v>85</v>
      </c>
    </row>
    <row r="89" spans="1:1" x14ac:dyDescent="0.25">
      <c r="A89">
        <v>86</v>
      </c>
    </row>
    <row r="90" spans="1:1" x14ac:dyDescent="0.25">
      <c r="A90">
        <v>87</v>
      </c>
    </row>
    <row r="91" spans="1:1" x14ac:dyDescent="0.25">
      <c r="A91">
        <v>88</v>
      </c>
    </row>
    <row r="92" spans="1:1" x14ac:dyDescent="0.25">
      <c r="A92">
        <v>89</v>
      </c>
    </row>
    <row r="93" spans="1:1" x14ac:dyDescent="0.25">
      <c r="A93">
        <v>90</v>
      </c>
    </row>
    <row r="94" spans="1:1" x14ac:dyDescent="0.25">
      <c r="A94">
        <v>91</v>
      </c>
    </row>
    <row r="95" spans="1:1" x14ac:dyDescent="0.25">
      <c r="A95">
        <v>92</v>
      </c>
    </row>
    <row r="96" spans="1:1" x14ac:dyDescent="0.25">
      <c r="A96">
        <v>93</v>
      </c>
    </row>
    <row r="97" spans="1:1" x14ac:dyDescent="0.25">
      <c r="A97">
        <v>94</v>
      </c>
    </row>
    <row r="98" spans="1:1" x14ac:dyDescent="0.25">
      <c r="A98">
        <v>95</v>
      </c>
    </row>
    <row r="99" spans="1:1" x14ac:dyDescent="0.25">
      <c r="A99">
        <v>96</v>
      </c>
    </row>
    <row r="100" spans="1:1" x14ac:dyDescent="0.25">
      <c r="A100">
        <v>97</v>
      </c>
    </row>
    <row r="101" spans="1:1" x14ac:dyDescent="0.25">
      <c r="A101">
        <v>98</v>
      </c>
    </row>
    <row r="102" spans="1:1" x14ac:dyDescent="0.25">
      <c r="A102">
        <v>99</v>
      </c>
    </row>
    <row r="103" spans="1:1" x14ac:dyDescent="0.25">
      <c r="A103">
        <v>100</v>
      </c>
    </row>
    <row r="104" spans="1:1" x14ac:dyDescent="0.25">
      <c r="A104">
        <v>101</v>
      </c>
    </row>
    <row r="105" spans="1:1" x14ac:dyDescent="0.25">
      <c r="A105">
        <v>102</v>
      </c>
    </row>
    <row r="106" spans="1:1" x14ac:dyDescent="0.25">
      <c r="A106">
        <v>103</v>
      </c>
    </row>
    <row r="107" spans="1:1" x14ac:dyDescent="0.25">
      <c r="A107">
        <v>104</v>
      </c>
    </row>
    <row r="108" spans="1:1" x14ac:dyDescent="0.25">
      <c r="A108">
        <v>105</v>
      </c>
    </row>
    <row r="109" spans="1:1" x14ac:dyDescent="0.25">
      <c r="A109">
        <v>106</v>
      </c>
    </row>
    <row r="110" spans="1:1" x14ac:dyDescent="0.25">
      <c r="A110">
        <v>107</v>
      </c>
    </row>
    <row r="111" spans="1:1" x14ac:dyDescent="0.25">
      <c r="A111">
        <v>108</v>
      </c>
    </row>
    <row r="112" spans="1:1" x14ac:dyDescent="0.25">
      <c r="A112">
        <v>109</v>
      </c>
    </row>
    <row r="113" spans="1:1" x14ac:dyDescent="0.25">
      <c r="A113">
        <v>110</v>
      </c>
    </row>
    <row r="114" spans="1:1" x14ac:dyDescent="0.25">
      <c r="A114">
        <v>111</v>
      </c>
    </row>
    <row r="115" spans="1:1" x14ac:dyDescent="0.25">
      <c r="A115">
        <v>112</v>
      </c>
    </row>
    <row r="116" spans="1:1" x14ac:dyDescent="0.25">
      <c r="A116">
        <v>113</v>
      </c>
    </row>
    <row r="117" spans="1:1" x14ac:dyDescent="0.25">
      <c r="A117">
        <v>114</v>
      </c>
    </row>
    <row r="118" spans="1:1" x14ac:dyDescent="0.25">
      <c r="A118">
        <v>115</v>
      </c>
    </row>
    <row r="119" spans="1:1" x14ac:dyDescent="0.25">
      <c r="A119">
        <v>116</v>
      </c>
    </row>
    <row r="120" spans="1:1" x14ac:dyDescent="0.25">
      <c r="A120">
        <v>117</v>
      </c>
    </row>
    <row r="121" spans="1:1" x14ac:dyDescent="0.25">
      <c r="A121">
        <v>118</v>
      </c>
    </row>
    <row r="122" spans="1:1" x14ac:dyDescent="0.25">
      <c r="A122">
        <v>119</v>
      </c>
    </row>
    <row r="123" spans="1:1" x14ac:dyDescent="0.25">
      <c r="A123">
        <v>120</v>
      </c>
    </row>
    <row r="124" spans="1:1" x14ac:dyDescent="0.25">
      <c r="A124">
        <v>121</v>
      </c>
    </row>
    <row r="125" spans="1:1" x14ac:dyDescent="0.25">
      <c r="A125">
        <v>122</v>
      </c>
    </row>
    <row r="126" spans="1:1" x14ac:dyDescent="0.25">
      <c r="A126">
        <v>123</v>
      </c>
    </row>
    <row r="127" spans="1:1" x14ac:dyDescent="0.25">
      <c r="A127">
        <v>124</v>
      </c>
    </row>
    <row r="128" spans="1:1" x14ac:dyDescent="0.25">
      <c r="A128">
        <v>125</v>
      </c>
    </row>
    <row r="129" spans="1:1" x14ac:dyDescent="0.25">
      <c r="A129">
        <v>126</v>
      </c>
    </row>
    <row r="130" spans="1:1" x14ac:dyDescent="0.25">
      <c r="A130">
        <v>127</v>
      </c>
    </row>
    <row r="131" spans="1:1" x14ac:dyDescent="0.25">
      <c r="A131">
        <v>128</v>
      </c>
    </row>
    <row r="132" spans="1:1" x14ac:dyDescent="0.25">
      <c r="A132">
        <v>129</v>
      </c>
    </row>
    <row r="133" spans="1:1" x14ac:dyDescent="0.25">
      <c r="A133">
        <v>130</v>
      </c>
    </row>
  </sheetData>
  <mergeCells count="2">
    <mergeCell ref="A2:K2"/>
    <mergeCell ref="A1:K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81D9B-3D0C-4CED-857D-BC1CA3572124}">
  <sheetPr codeName="Hoja7">
    <pageSetUpPr fitToPage="1"/>
  </sheetPr>
  <dimension ref="A1:L102"/>
  <sheetViews>
    <sheetView tabSelected="1" workbookViewId="0">
      <selection sqref="A1:L102"/>
    </sheetView>
  </sheetViews>
  <sheetFormatPr baseColWidth="10" defaultRowHeight="15" x14ac:dyDescent="0.25"/>
  <cols>
    <col min="1" max="1" width="4" bestFit="1" customWidth="1"/>
    <col min="2" max="2" width="12.42578125" bestFit="1" customWidth="1"/>
    <col min="3" max="3" width="15.85546875" bestFit="1" customWidth="1"/>
    <col min="4" max="4" width="16.28515625" bestFit="1" customWidth="1"/>
    <col min="5" max="5" width="29.7109375" bestFit="1" customWidth="1"/>
    <col min="6" max="6" width="16.140625" bestFit="1" customWidth="1"/>
    <col min="7" max="7" width="9" bestFit="1" customWidth="1"/>
    <col min="8" max="8" width="6.5703125" customWidth="1"/>
    <col min="9" max="9" width="24.42578125" bestFit="1" customWidth="1"/>
    <col min="10" max="10" width="13" bestFit="1" customWidth="1"/>
    <col min="11" max="11" width="8.5703125" bestFit="1" customWidth="1"/>
  </cols>
  <sheetData>
    <row r="1" spans="1:12" x14ac:dyDescent="0.25">
      <c r="A1" s="94" t="s">
        <v>318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</row>
    <row r="2" spans="1:12" x14ac:dyDescent="0.25">
      <c r="A2" s="30" t="s">
        <v>107</v>
      </c>
      <c r="B2" s="30" t="s">
        <v>312</v>
      </c>
      <c r="C2" s="30" t="s">
        <v>313</v>
      </c>
      <c r="D2" s="30" t="s">
        <v>314</v>
      </c>
      <c r="E2" s="30" t="s">
        <v>266</v>
      </c>
      <c r="F2" s="30" t="s">
        <v>315</v>
      </c>
      <c r="G2" s="30" t="s">
        <v>189</v>
      </c>
      <c r="H2" s="30" t="s">
        <v>307</v>
      </c>
      <c r="I2" s="30" t="s">
        <v>316</v>
      </c>
      <c r="J2" s="30" t="s">
        <v>317</v>
      </c>
      <c r="K2" s="30" t="s">
        <v>306</v>
      </c>
      <c r="L2" s="30" t="s">
        <v>186</v>
      </c>
    </row>
    <row r="3" spans="1:12" x14ac:dyDescent="0.25">
      <c r="A3">
        <v>1</v>
      </c>
      <c r="C3" s="26"/>
    </row>
    <row r="4" spans="1:12" x14ac:dyDescent="0.25">
      <c r="A4">
        <v>2</v>
      </c>
      <c r="C4" s="26"/>
    </row>
    <row r="5" spans="1:12" x14ac:dyDescent="0.25">
      <c r="A5">
        <v>3</v>
      </c>
      <c r="C5" s="26"/>
    </row>
    <row r="6" spans="1:12" x14ac:dyDescent="0.25">
      <c r="A6">
        <v>4</v>
      </c>
    </row>
    <row r="7" spans="1:12" x14ac:dyDescent="0.25">
      <c r="A7">
        <v>5</v>
      </c>
    </row>
    <row r="8" spans="1:12" x14ac:dyDescent="0.25">
      <c r="A8">
        <v>6</v>
      </c>
    </row>
    <row r="9" spans="1:12" x14ac:dyDescent="0.25">
      <c r="A9">
        <v>7</v>
      </c>
    </row>
    <row r="10" spans="1:12" x14ac:dyDescent="0.25">
      <c r="A10">
        <v>8</v>
      </c>
    </row>
    <row r="11" spans="1:12" x14ac:dyDescent="0.25">
      <c r="A11">
        <v>9</v>
      </c>
    </row>
    <row r="12" spans="1:12" x14ac:dyDescent="0.25">
      <c r="A12">
        <v>10</v>
      </c>
    </row>
    <row r="13" spans="1:12" x14ac:dyDescent="0.25">
      <c r="A13">
        <v>11</v>
      </c>
    </row>
    <row r="14" spans="1:12" x14ac:dyDescent="0.25">
      <c r="A14">
        <v>12</v>
      </c>
    </row>
    <row r="15" spans="1:12" x14ac:dyDescent="0.25">
      <c r="A15">
        <v>13</v>
      </c>
    </row>
    <row r="16" spans="1:12" x14ac:dyDescent="0.25">
      <c r="A16">
        <v>14</v>
      </c>
    </row>
    <row r="17" spans="1:1" x14ac:dyDescent="0.25">
      <c r="A17">
        <v>15</v>
      </c>
    </row>
    <row r="18" spans="1:1" x14ac:dyDescent="0.25">
      <c r="A18">
        <v>16</v>
      </c>
    </row>
    <row r="19" spans="1:1" x14ac:dyDescent="0.25">
      <c r="A19">
        <v>17</v>
      </c>
    </row>
    <row r="20" spans="1:1" x14ac:dyDescent="0.25">
      <c r="A20">
        <v>18</v>
      </c>
    </row>
    <row r="21" spans="1:1" x14ac:dyDescent="0.25">
      <c r="A21">
        <v>19</v>
      </c>
    </row>
    <row r="22" spans="1:1" x14ac:dyDescent="0.25">
      <c r="A22">
        <v>20</v>
      </c>
    </row>
    <row r="23" spans="1:1" x14ac:dyDescent="0.25">
      <c r="A23">
        <v>21</v>
      </c>
    </row>
    <row r="24" spans="1:1" x14ac:dyDescent="0.25">
      <c r="A24">
        <v>22</v>
      </c>
    </row>
    <row r="25" spans="1:1" x14ac:dyDescent="0.25">
      <c r="A25">
        <v>23</v>
      </c>
    </row>
    <row r="26" spans="1:1" x14ac:dyDescent="0.25">
      <c r="A26">
        <v>24</v>
      </c>
    </row>
    <row r="27" spans="1:1" x14ac:dyDescent="0.25">
      <c r="A27">
        <v>25</v>
      </c>
    </row>
    <row r="28" spans="1:1" x14ac:dyDescent="0.25">
      <c r="A28">
        <v>26</v>
      </c>
    </row>
    <row r="29" spans="1:1" x14ac:dyDescent="0.25">
      <c r="A29">
        <v>27</v>
      </c>
    </row>
    <row r="30" spans="1:1" x14ac:dyDescent="0.25">
      <c r="A30">
        <v>28</v>
      </c>
    </row>
    <row r="31" spans="1:1" x14ac:dyDescent="0.25">
      <c r="A31">
        <v>29</v>
      </c>
    </row>
    <row r="32" spans="1:1" x14ac:dyDescent="0.25">
      <c r="A32">
        <v>30</v>
      </c>
    </row>
    <row r="33" spans="1:1" x14ac:dyDescent="0.25">
      <c r="A33">
        <v>31</v>
      </c>
    </row>
    <row r="34" spans="1:1" x14ac:dyDescent="0.25">
      <c r="A34">
        <v>32</v>
      </c>
    </row>
    <row r="35" spans="1:1" x14ac:dyDescent="0.25">
      <c r="A35">
        <v>33</v>
      </c>
    </row>
    <row r="36" spans="1:1" x14ac:dyDescent="0.25">
      <c r="A36">
        <v>34</v>
      </c>
    </row>
    <row r="37" spans="1:1" x14ac:dyDescent="0.25">
      <c r="A37">
        <v>35</v>
      </c>
    </row>
    <row r="38" spans="1:1" x14ac:dyDescent="0.25">
      <c r="A38">
        <v>36</v>
      </c>
    </row>
    <row r="39" spans="1:1" x14ac:dyDescent="0.25">
      <c r="A39">
        <v>37</v>
      </c>
    </row>
    <row r="40" spans="1:1" x14ac:dyDescent="0.25">
      <c r="A40">
        <v>38</v>
      </c>
    </row>
    <row r="41" spans="1:1" x14ac:dyDescent="0.25">
      <c r="A41">
        <v>39</v>
      </c>
    </row>
    <row r="42" spans="1:1" x14ac:dyDescent="0.25">
      <c r="A42">
        <v>40</v>
      </c>
    </row>
    <row r="43" spans="1:1" x14ac:dyDescent="0.25">
      <c r="A43">
        <v>41</v>
      </c>
    </row>
    <row r="44" spans="1:1" x14ac:dyDescent="0.25">
      <c r="A44">
        <v>42</v>
      </c>
    </row>
    <row r="45" spans="1:1" x14ac:dyDescent="0.25">
      <c r="A45">
        <v>43</v>
      </c>
    </row>
    <row r="46" spans="1:1" x14ac:dyDescent="0.25">
      <c r="A46">
        <v>44</v>
      </c>
    </row>
    <row r="47" spans="1:1" x14ac:dyDescent="0.25">
      <c r="A47">
        <v>45</v>
      </c>
    </row>
    <row r="48" spans="1:1" x14ac:dyDescent="0.25">
      <c r="A48">
        <v>46</v>
      </c>
    </row>
    <row r="49" spans="1:1" x14ac:dyDescent="0.25">
      <c r="A49">
        <v>47</v>
      </c>
    </row>
    <row r="50" spans="1:1" x14ac:dyDescent="0.25">
      <c r="A50">
        <v>48</v>
      </c>
    </row>
    <row r="51" spans="1:1" x14ac:dyDescent="0.25">
      <c r="A51">
        <v>49</v>
      </c>
    </row>
    <row r="52" spans="1:1" x14ac:dyDescent="0.25">
      <c r="A52">
        <v>50</v>
      </c>
    </row>
    <row r="53" spans="1:1" x14ac:dyDescent="0.25">
      <c r="A53">
        <v>51</v>
      </c>
    </row>
    <row r="54" spans="1:1" x14ac:dyDescent="0.25">
      <c r="A54">
        <v>52</v>
      </c>
    </row>
    <row r="55" spans="1:1" x14ac:dyDescent="0.25">
      <c r="A55">
        <v>53</v>
      </c>
    </row>
    <row r="56" spans="1:1" x14ac:dyDescent="0.25">
      <c r="A56">
        <v>54</v>
      </c>
    </row>
    <row r="57" spans="1:1" x14ac:dyDescent="0.25">
      <c r="A57">
        <v>55</v>
      </c>
    </row>
    <row r="58" spans="1:1" x14ac:dyDescent="0.25">
      <c r="A58">
        <v>56</v>
      </c>
    </row>
    <row r="59" spans="1:1" x14ac:dyDescent="0.25">
      <c r="A59">
        <v>57</v>
      </c>
    </row>
    <row r="60" spans="1:1" x14ac:dyDescent="0.25">
      <c r="A60">
        <v>58</v>
      </c>
    </row>
    <row r="61" spans="1:1" x14ac:dyDescent="0.25">
      <c r="A61">
        <v>59</v>
      </c>
    </row>
    <row r="62" spans="1:1" x14ac:dyDescent="0.25">
      <c r="A62">
        <v>60</v>
      </c>
    </row>
    <row r="63" spans="1:1" x14ac:dyDescent="0.25">
      <c r="A63">
        <v>61</v>
      </c>
    </row>
    <row r="64" spans="1:1" x14ac:dyDescent="0.25">
      <c r="A64">
        <v>62</v>
      </c>
    </row>
    <row r="65" spans="1:1" x14ac:dyDescent="0.25">
      <c r="A65">
        <v>63</v>
      </c>
    </row>
    <row r="66" spans="1:1" x14ac:dyDescent="0.25">
      <c r="A66">
        <v>64</v>
      </c>
    </row>
    <row r="67" spans="1:1" x14ac:dyDescent="0.25">
      <c r="A67">
        <v>65</v>
      </c>
    </row>
    <row r="68" spans="1:1" x14ac:dyDescent="0.25">
      <c r="A68">
        <v>66</v>
      </c>
    </row>
    <row r="69" spans="1:1" x14ac:dyDescent="0.25">
      <c r="A69">
        <v>67</v>
      </c>
    </row>
    <row r="70" spans="1:1" x14ac:dyDescent="0.25">
      <c r="A70">
        <v>68</v>
      </c>
    </row>
    <row r="71" spans="1:1" x14ac:dyDescent="0.25">
      <c r="A71">
        <v>69</v>
      </c>
    </row>
    <row r="72" spans="1:1" x14ac:dyDescent="0.25">
      <c r="A72">
        <v>70</v>
      </c>
    </row>
    <row r="73" spans="1:1" x14ac:dyDescent="0.25">
      <c r="A73">
        <v>71</v>
      </c>
    </row>
    <row r="74" spans="1:1" x14ac:dyDescent="0.25">
      <c r="A74">
        <v>72</v>
      </c>
    </row>
    <row r="75" spans="1:1" x14ac:dyDescent="0.25">
      <c r="A75">
        <v>73</v>
      </c>
    </row>
    <row r="76" spans="1:1" x14ac:dyDescent="0.25">
      <c r="A76">
        <v>74</v>
      </c>
    </row>
    <row r="77" spans="1:1" x14ac:dyDescent="0.25">
      <c r="A77">
        <v>75</v>
      </c>
    </row>
    <row r="78" spans="1:1" x14ac:dyDescent="0.25">
      <c r="A78">
        <v>76</v>
      </c>
    </row>
    <row r="79" spans="1:1" x14ac:dyDescent="0.25">
      <c r="A79">
        <v>77</v>
      </c>
    </row>
    <row r="80" spans="1:1" x14ac:dyDescent="0.25">
      <c r="A80">
        <v>78</v>
      </c>
    </row>
    <row r="81" spans="1:1" x14ac:dyDescent="0.25">
      <c r="A81">
        <v>79</v>
      </c>
    </row>
    <row r="82" spans="1:1" x14ac:dyDescent="0.25">
      <c r="A82">
        <v>80</v>
      </c>
    </row>
    <row r="83" spans="1:1" x14ac:dyDescent="0.25">
      <c r="A83">
        <v>81</v>
      </c>
    </row>
    <row r="84" spans="1:1" x14ac:dyDescent="0.25">
      <c r="A84">
        <v>82</v>
      </c>
    </row>
    <row r="85" spans="1:1" x14ac:dyDescent="0.25">
      <c r="A85">
        <v>83</v>
      </c>
    </row>
    <row r="86" spans="1:1" x14ac:dyDescent="0.25">
      <c r="A86">
        <v>84</v>
      </c>
    </row>
    <row r="87" spans="1:1" x14ac:dyDescent="0.25">
      <c r="A87">
        <v>85</v>
      </c>
    </row>
    <row r="88" spans="1:1" x14ac:dyDescent="0.25">
      <c r="A88">
        <v>86</v>
      </c>
    </row>
    <row r="89" spans="1:1" x14ac:dyDescent="0.25">
      <c r="A89">
        <v>87</v>
      </c>
    </row>
    <row r="90" spans="1:1" x14ac:dyDescent="0.25">
      <c r="A90">
        <v>88</v>
      </c>
    </row>
    <row r="91" spans="1:1" x14ac:dyDescent="0.25">
      <c r="A91">
        <v>89</v>
      </c>
    </row>
    <row r="92" spans="1:1" x14ac:dyDescent="0.25">
      <c r="A92">
        <v>90</v>
      </c>
    </row>
    <row r="93" spans="1:1" x14ac:dyDescent="0.25">
      <c r="A93">
        <v>91</v>
      </c>
    </row>
    <row r="94" spans="1:1" x14ac:dyDescent="0.25">
      <c r="A94">
        <v>92</v>
      </c>
    </row>
    <row r="95" spans="1:1" x14ac:dyDescent="0.25">
      <c r="A95">
        <v>93</v>
      </c>
    </row>
    <row r="96" spans="1:1" x14ac:dyDescent="0.25">
      <c r="A96">
        <v>94</v>
      </c>
    </row>
    <row r="97" spans="1:1" x14ac:dyDescent="0.25">
      <c r="A97">
        <v>95</v>
      </c>
    </row>
    <row r="98" spans="1:1" x14ac:dyDescent="0.25">
      <c r="A98">
        <v>96</v>
      </c>
    </row>
    <row r="99" spans="1:1" x14ac:dyDescent="0.25">
      <c r="A99">
        <v>97</v>
      </c>
    </row>
    <row r="100" spans="1:1" x14ac:dyDescent="0.25">
      <c r="A100">
        <v>98</v>
      </c>
    </row>
    <row r="101" spans="1:1" x14ac:dyDescent="0.25">
      <c r="A101">
        <v>99</v>
      </c>
    </row>
    <row r="102" spans="1:1" x14ac:dyDescent="0.25">
      <c r="A102">
        <v>100</v>
      </c>
    </row>
  </sheetData>
  <mergeCells count="1">
    <mergeCell ref="A1:L1"/>
  </mergeCells>
  <pageMargins left="0.7" right="0.7" top="0.75" bottom="0.75" header="0.3" footer="0.3"/>
  <pageSetup scale="73" fitToHeight="0" orientation="landscape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0A131-E999-4163-8359-FBB017BBBE9C}">
  <sheetPr codeName="Hoja5">
    <tabColor theme="9" tint="0.79998168889431442"/>
  </sheetPr>
  <dimension ref="A1:L105"/>
  <sheetViews>
    <sheetView zoomScale="85" zoomScaleNormal="85" workbookViewId="0">
      <selection activeCell="H21" sqref="H21"/>
    </sheetView>
  </sheetViews>
  <sheetFormatPr baseColWidth="10" defaultRowHeight="15" x14ac:dyDescent="0.25"/>
  <cols>
    <col min="1" max="1" width="3.85546875" customWidth="1"/>
    <col min="2" max="2" width="34.42578125" customWidth="1"/>
    <col min="3" max="3" width="13.42578125" customWidth="1"/>
    <col min="5" max="5" width="24.42578125" customWidth="1"/>
    <col min="6" max="6" width="7.5703125" customWidth="1"/>
    <col min="7" max="7" width="7.42578125" customWidth="1"/>
  </cols>
  <sheetData>
    <row r="1" spans="1:12" x14ac:dyDescent="0.25">
      <c r="C1" s="81" t="s">
        <v>272</v>
      </c>
      <c r="D1" s="81"/>
      <c r="E1" s="81"/>
      <c r="F1" s="81"/>
      <c r="G1" s="81"/>
      <c r="H1" s="81"/>
      <c r="I1" s="81"/>
      <c r="J1" s="81"/>
      <c r="K1" s="81"/>
      <c r="L1" s="81"/>
    </row>
    <row r="2" spans="1:12" x14ac:dyDescent="0.25">
      <c r="D2" s="71" t="s">
        <v>273</v>
      </c>
      <c r="E2" s="71"/>
      <c r="F2" s="71"/>
      <c r="G2" s="71"/>
      <c r="H2" s="71"/>
      <c r="I2" s="71"/>
      <c r="J2" s="71"/>
      <c r="K2" s="71"/>
    </row>
    <row r="4" spans="1:12" x14ac:dyDescent="0.25">
      <c r="A4" s="95" t="s">
        <v>271</v>
      </c>
      <c r="B4" s="95"/>
      <c r="C4" s="95"/>
      <c r="E4" s="96" t="s">
        <v>160</v>
      </c>
      <c r="F4" s="96"/>
      <c r="G4" s="96"/>
      <c r="H4" s="96"/>
    </row>
    <row r="5" spans="1:12" x14ac:dyDescent="0.25">
      <c r="A5" s="29" t="s">
        <v>191</v>
      </c>
      <c r="B5" s="29" t="s">
        <v>192</v>
      </c>
      <c r="C5" s="30" t="s">
        <v>270</v>
      </c>
      <c r="E5" s="32" t="s">
        <v>161</v>
      </c>
      <c r="F5" s="32" t="s">
        <v>162</v>
      </c>
      <c r="G5" s="32" t="s">
        <v>107</v>
      </c>
      <c r="H5" s="31" t="s">
        <v>274</v>
      </c>
    </row>
    <row r="6" spans="1:12" x14ac:dyDescent="0.25">
      <c r="A6" s="1">
        <v>1</v>
      </c>
      <c r="B6" s="1" t="s">
        <v>193</v>
      </c>
      <c r="C6" s="1">
        <f>COUNTIF(REGISTROS!$B$4:$B$133,B6)</f>
        <v>0</v>
      </c>
      <c r="E6" s="1" t="s">
        <v>163</v>
      </c>
      <c r="F6" s="1" t="s">
        <v>164</v>
      </c>
      <c r="G6" s="1">
        <v>1</v>
      </c>
      <c r="H6" s="1">
        <f>COUNTIF(REGISTROS!$G$4:$G$134,G6)</f>
        <v>0</v>
      </c>
    </row>
    <row r="7" spans="1:12" x14ac:dyDescent="0.25">
      <c r="A7" s="1">
        <v>2</v>
      </c>
      <c r="B7" s="1" t="s">
        <v>194</v>
      </c>
      <c r="C7" s="1">
        <f>COUNTIF(REGISTROS!$B$4:$B$133,B7)</f>
        <v>0</v>
      </c>
      <c r="E7" s="1" t="s">
        <v>165</v>
      </c>
      <c r="F7" s="1" t="s">
        <v>166</v>
      </c>
      <c r="G7" s="1">
        <v>2</v>
      </c>
      <c r="H7" s="1">
        <f>COUNTIF(REGISTROS!$G$4:$G$134,G7)</f>
        <v>0</v>
      </c>
    </row>
    <row r="8" spans="1:12" x14ac:dyDescent="0.25">
      <c r="A8" s="1">
        <v>3</v>
      </c>
      <c r="B8" s="1" t="s">
        <v>195</v>
      </c>
      <c r="C8" s="1">
        <f>COUNTIF(REGISTROS!$B$4:$B$133,B8)</f>
        <v>0</v>
      </c>
      <c r="E8" s="1" t="s">
        <v>114</v>
      </c>
      <c r="F8" s="1" t="s">
        <v>167</v>
      </c>
      <c r="G8" s="1">
        <v>4</v>
      </c>
      <c r="H8" s="1">
        <f>COUNTIF(REGISTROS!$G$4:$G$134,G8)</f>
        <v>0</v>
      </c>
    </row>
    <row r="9" spans="1:12" x14ac:dyDescent="0.25">
      <c r="A9" s="1">
        <v>4</v>
      </c>
      <c r="B9" s="1" t="s">
        <v>196</v>
      </c>
      <c r="C9" s="1">
        <f>COUNTIF(REGISTROS!$B$4:$B$133,B9)</f>
        <v>0</v>
      </c>
      <c r="E9" s="1" t="s">
        <v>168</v>
      </c>
      <c r="F9" s="1" t="s">
        <v>169</v>
      </c>
      <c r="G9" s="1">
        <v>5</v>
      </c>
      <c r="H9" s="1">
        <f>COUNTIF(REGISTROS!$G$4:$G$134,G9)</f>
        <v>0</v>
      </c>
    </row>
    <row r="10" spans="1:12" x14ac:dyDescent="0.25">
      <c r="A10" s="1">
        <v>5</v>
      </c>
      <c r="B10" s="1" t="s">
        <v>197</v>
      </c>
      <c r="C10" s="1">
        <f>COUNTIF(REGISTROS!$B$4:$B$133,B10)</f>
        <v>0</v>
      </c>
      <c r="E10" s="1" t="s">
        <v>170</v>
      </c>
      <c r="F10" s="1" t="s">
        <v>171</v>
      </c>
      <c r="G10" s="1">
        <v>6</v>
      </c>
      <c r="H10" s="1">
        <f>COUNTIF(REGISTROS!$G$4:$G$134,G10)</f>
        <v>0</v>
      </c>
    </row>
    <row r="11" spans="1:12" x14ac:dyDescent="0.25">
      <c r="A11" s="1">
        <v>6</v>
      </c>
      <c r="B11" s="1" t="s">
        <v>198</v>
      </c>
      <c r="C11" s="1">
        <f>COUNTIF(REGISTROS!$B$4:$B$133,B11)</f>
        <v>0</v>
      </c>
      <c r="E11" s="1" t="s">
        <v>172</v>
      </c>
      <c r="F11" s="1" t="s">
        <v>173</v>
      </c>
      <c r="G11" s="1">
        <v>7</v>
      </c>
      <c r="H11" s="1">
        <f>COUNTIF(REGISTROS!$G$4:$G$134,G11)</f>
        <v>0</v>
      </c>
    </row>
    <row r="12" spans="1:12" x14ac:dyDescent="0.25">
      <c r="A12" s="1">
        <v>7</v>
      </c>
      <c r="B12" s="1" t="s">
        <v>199</v>
      </c>
      <c r="C12" s="1">
        <f>COUNTIF(REGISTROS!$B$4:$B$133,B12)</f>
        <v>0</v>
      </c>
      <c r="E12" s="1" t="s">
        <v>174</v>
      </c>
      <c r="F12" s="1" t="s">
        <v>175</v>
      </c>
      <c r="G12" s="1">
        <v>8</v>
      </c>
      <c r="H12" s="1">
        <f>COUNTIF(REGISTROS!$G$4:$G$134,G12)</f>
        <v>0</v>
      </c>
    </row>
    <row r="13" spans="1:12" x14ac:dyDescent="0.25">
      <c r="A13" s="1">
        <v>8</v>
      </c>
      <c r="B13" s="1" t="s">
        <v>200</v>
      </c>
      <c r="C13" s="1">
        <f>COUNTIF(REGISTROS!$B$4:$B$133,B13)</f>
        <v>0</v>
      </c>
      <c r="E13" s="1" t="s">
        <v>176</v>
      </c>
      <c r="F13" s="1" t="s">
        <v>177</v>
      </c>
      <c r="G13" s="1">
        <v>9</v>
      </c>
      <c r="H13" s="1">
        <f>COUNTIF(REGISTROS!$G$4:$G$134,G13)</f>
        <v>0</v>
      </c>
    </row>
    <row r="14" spans="1:12" x14ac:dyDescent="0.25">
      <c r="A14" s="1">
        <v>9</v>
      </c>
      <c r="B14" s="1" t="s">
        <v>201</v>
      </c>
      <c r="C14" s="1">
        <f>COUNTIF(REGISTROS!$B$4:$B$133,B14)</f>
        <v>0</v>
      </c>
      <c r="E14" s="1" t="s">
        <v>178</v>
      </c>
      <c r="F14" s="1" t="s">
        <v>179</v>
      </c>
      <c r="G14" s="1">
        <v>10</v>
      </c>
      <c r="H14" s="1">
        <f>COUNTIF(REGISTROS!$G$4:$G$134,G14)</f>
        <v>0</v>
      </c>
    </row>
    <row r="15" spans="1:12" x14ac:dyDescent="0.25">
      <c r="A15" s="1">
        <v>10</v>
      </c>
      <c r="B15" s="1" t="s">
        <v>202</v>
      </c>
      <c r="C15" s="1">
        <f>COUNTIF(REGISTROS!$B$4:$B$133,B15)</f>
        <v>0</v>
      </c>
      <c r="E15" s="33" t="s">
        <v>276</v>
      </c>
      <c r="F15" s="1">
        <f>SUM(H6:H14)</f>
        <v>0</v>
      </c>
    </row>
    <row r="16" spans="1:12" x14ac:dyDescent="0.25">
      <c r="A16" s="1">
        <v>11</v>
      </c>
      <c r="B16" s="1" t="s">
        <v>203</v>
      </c>
      <c r="C16" s="1">
        <f>COUNTIF(REGISTROS!$B$4:$B$133,B16)</f>
        <v>0</v>
      </c>
      <c r="E16" s="28" t="s">
        <v>275</v>
      </c>
      <c r="F16" s="1">
        <f>SUM(C6:C105)</f>
        <v>0</v>
      </c>
    </row>
    <row r="17" spans="1:6" x14ac:dyDescent="0.25">
      <c r="A17" s="1">
        <v>12</v>
      </c>
      <c r="B17" s="1" t="s">
        <v>204</v>
      </c>
      <c r="C17" s="1">
        <f>COUNTIF(REGISTROS!$B$4:$B$133,B17)</f>
        <v>0</v>
      </c>
    </row>
    <row r="18" spans="1:6" x14ac:dyDescent="0.25">
      <c r="A18" s="1">
        <v>13</v>
      </c>
      <c r="B18" s="1" t="s">
        <v>205</v>
      </c>
      <c r="C18" s="1">
        <f>COUNTIF(REGISTROS!$B$4:$B$133,B18)</f>
        <v>0</v>
      </c>
      <c r="E18" s="34" t="s">
        <v>278</v>
      </c>
    </row>
    <row r="19" spans="1:6" x14ac:dyDescent="0.25">
      <c r="A19" s="1">
        <v>14</v>
      </c>
      <c r="B19" s="1" t="s">
        <v>206</v>
      </c>
      <c r="C19" s="1">
        <f>COUNTIF(REGISTROS!$B$4:$B$133,B19)</f>
        <v>0</v>
      </c>
      <c r="E19" s="1" t="s">
        <v>277</v>
      </c>
      <c r="F19" s="1">
        <f>COUNTIF(REGISTROS!$I$4:$I$133,"Resuelto")</f>
        <v>0</v>
      </c>
    </row>
    <row r="20" spans="1:6" x14ac:dyDescent="0.25">
      <c r="A20" s="1">
        <v>15</v>
      </c>
      <c r="B20" s="1" t="s">
        <v>207</v>
      </c>
      <c r="C20" s="1">
        <f>COUNTIF(REGISTROS!$B$4:$B$133,B20)</f>
        <v>0</v>
      </c>
      <c r="E20" s="1" t="s">
        <v>280</v>
      </c>
      <c r="F20" s="1">
        <f>COUNTIF(REGISTROS!$I$4:$I$133,"Proceso")</f>
        <v>0</v>
      </c>
    </row>
    <row r="21" spans="1:6" x14ac:dyDescent="0.25">
      <c r="A21" s="1">
        <v>16</v>
      </c>
      <c r="B21" s="9" t="s">
        <v>231</v>
      </c>
      <c r="C21" s="1">
        <f>COUNTIF(REGISTROS!$B$4:$B$133,B21)</f>
        <v>0</v>
      </c>
      <c r="E21" s="1" t="s">
        <v>279</v>
      </c>
      <c r="F21" s="1">
        <f>COUNTIF(REGISTROS!$I$4:$I$133,"Cancelado")</f>
        <v>0</v>
      </c>
    </row>
    <row r="22" spans="1:6" x14ac:dyDescent="0.25">
      <c r="A22" s="1">
        <v>17</v>
      </c>
      <c r="B22" s="1" t="s">
        <v>208</v>
      </c>
      <c r="C22" s="1">
        <f>COUNTIF(REGISTROS!$B$4:$B$133,B22)</f>
        <v>0</v>
      </c>
    </row>
    <row r="23" spans="1:6" x14ac:dyDescent="0.25">
      <c r="A23" s="1">
        <v>18</v>
      </c>
      <c r="B23" s="1" t="s">
        <v>209</v>
      </c>
      <c r="C23" s="1">
        <f>COUNTIF(REGISTROS!$B$4:$B$133,B23)</f>
        <v>0</v>
      </c>
    </row>
    <row r="24" spans="1:6" x14ac:dyDescent="0.25">
      <c r="A24" s="1">
        <v>19</v>
      </c>
      <c r="B24" s="1" t="s">
        <v>210</v>
      </c>
      <c r="C24" s="1">
        <f>COUNTIF(REGISTROS!$B$4:$B$133,B24)</f>
        <v>0</v>
      </c>
    </row>
    <row r="25" spans="1:6" x14ac:dyDescent="0.25">
      <c r="A25" s="1">
        <v>20</v>
      </c>
      <c r="B25" s="1" t="s">
        <v>211</v>
      </c>
      <c r="C25" s="1">
        <f>COUNTIF(REGISTROS!$B$4:$B$133,B25)</f>
        <v>0</v>
      </c>
    </row>
    <row r="26" spans="1:6" x14ac:dyDescent="0.25">
      <c r="A26" s="1">
        <v>21</v>
      </c>
      <c r="B26" s="1" t="s">
        <v>212</v>
      </c>
      <c r="C26" s="1">
        <f>COUNTIF(REGISTROS!$B$4:$B$133,B26)</f>
        <v>0</v>
      </c>
    </row>
    <row r="27" spans="1:6" x14ac:dyDescent="0.25">
      <c r="A27" s="1">
        <v>22</v>
      </c>
      <c r="B27" s="1" t="s">
        <v>213</v>
      </c>
      <c r="C27" s="1">
        <f>COUNTIF(REGISTROS!$B$4:$B$133,B27)</f>
        <v>0</v>
      </c>
    </row>
    <row r="28" spans="1:6" x14ac:dyDescent="0.25">
      <c r="A28" s="1">
        <v>23</v>
      </c>
      <c r="B28" s="1" t="s">
        <v>214</v>
      </c>
      <c r="C28" s="1">
        <f>COUNTIF(REGISTROS!$B$4:$B$133,B28)</f>
        <v>0</v>
      </c>
    </row>
    <row r="29" spans="1:6" x14ac:dyDescent="0.25">
      <c r="A29" s="1">
        <v>24</v>
      </c>
      <c r="B29" s="1" t="s">
        <v>215</v>
      </c>
      <c r="C29" s="1">
        <f>COUNTIF(REGISTROS!$B$4:$B$133,B29)</f>
        <v>0</v>
      </c>
    </row>
    <row r="30" spans="1:6" x14ac:dyDescent="0.25">
      <c r="A30" s="1">
        <v>25</v>
      </c>
      <c r="B30" s="1" t="s">
        <v>216</v>
      </c>
      <c r="C30" s="1">
        <f>COUNTIF(REGISTROS!$B$4:$B$133,B30)</f>
        <v>0</v>
      </c>
    </row>
    <row r="31" spans="1:6" x14ac:dyDescent="0.25">
      <c r="A31" s="1">
        <v>26</v>
      </c>
      <c r="B31" s="1" t="s">
        <v>217</v>
      </c>
      <c r="C31" s="1">
        <f>COUNTIF(REGISTROS!$B$4:$B$133,B31)</f>
        <v>0</v>
      </c>
    </row>
    <row r="32" spans="1:6" x14ac:dyDescent="0.25">
      <c r="A32" s="1">
        <v>27</v>
      </c>
      <c r="B32" s="1" t="s">
        <v>218</v>
      </c>
      <c r="C32" s="1">
        <f>COUNTIF(REGISTROS!$B$4:$B$133,B32)</f>
        <v>0</v>
      </c>
    </row>
    <row r="33" spans="1:3" x14ac:dyDescent="0.25">
      <c r="A33" s="1">
        <v>28</v>
      </c>
      <c r="B33" s="1" t="s">
        <v>219</v>
      </c>
      <c r="C33" s="1">
        <f>COUNTIF(REGISTROS!$B$4:$B$133,B33)</f>
        <v>0</v>
      </c>
    </row>
    <row r="34" spans="1:3" x14ac:dyDescent="0.25">
      <c r="A34" s="1">
        <v>29</v>
      </c>
      <c r="B34" s="1" t="s">
        <v>220</v>
      </c>
      <c r="C34" s="1">
        <f>COUNTIF(REGISTROS!$B$4:$B$133,B34)</f>
        <v>0</v>
      </c>
    </row>
    <row r="35" spans="1:3" x14ac:dyDescent="0.25">
      <c r="A35" s="1">
        <v>30</v>
      </c>
      <c r="B35" s="1" t="s">
        <v>221</v>
      </c>
      <c r="C35" s="1">
        <f>COUNTIF(REGISTROS!$B$4:$B$133,B35)</f>
        <v>0</v>
      </c>
    </row>
    <row r="36" spans="1:3" x14ac:dyDescent="0.25">
      <c r="A36" s="1">
        <v>31</v>
      </c>
      <c r="B36" s="1" t="s">
        <v>222</v>
      </c>
      <c r="C36" s="1">
        <f>COUNTIF(REGISTROS!$B$4:$B$133,B36)</f>
        <v>0</v>
      </c>
    </row>
    <row r="37" spans="1:3" x14ac:dyDescent="0.25">
      <c r="A37" s="1">
        <v>32</v>
      </c>
      <c r="B37" s="1" t="s">
        <v>223</v>
      </c>
      <c r="C37" s="1">
        <f>COUNTIF(REGISTROS!$B$4:$B$133,B37)</f>
        <v>0</v>
      </c>
    </row>
    <row r="38" spans="1:3" x14ac:dyDescent="0.25">
      <c r="A38" s="1">
        <v>33</v>
      </c>
      <c r="B38" s="1" t="s">
        <v>224</v>
      </c>
      <c r="C38" s="1">
        <f>COUNTIF(REGISTROS!$B$4:$B$133,B38)</f>
        <v>0</v>
      </c>
    </row>
    <row r="39" spans="1:3" x14ac:dyDescent="0.25">
      <c r="A39" s="1">
        <v>34</v>
      </c>
      <c r="B39" s="1" t="s">
        <v>225</v>
      </c>
      <c r="C39" s="1">
        <f>COUNTIF(REGISTROS!$B$4:$B$133,B39)</f>
        <v>0</v>
      </c>
    </row>
    <row r="40" spans="1:3" x14ac:dyDescent="0.25">
      <c r="A40" s="1">
        <v>35</v>
      </c>
      <c r="B40" s="1" t="s">
        <v>226</v>
      </c>
      <c r="C40" s="1">
        <f>COUNTIF(REGISTROS!$B$4:$B$133,B40)</f>
        <v>0</v>
      </c>
    </row>
    <row r="41" spans="1:3" x14ac:dyDescent="0.25">
      <c r="A41" s="1">
        <v>36</v>
      </c>
      <c r="B41" s="1" t="s">
        <v>227</v>
      </c>
      <c r="C41" s="1">
        <f>COUNTIF(REGISTROS!$B$4:$B$133,B41)</f>
        <v>0</v>
      </c>
    </row>
    <row r="42" spans="1:3" x14ac:dyDescent="0.25">
      <c r="A42" s="1">
        <v>37</v>
      </c>
      <c r="B42" s="1" t="s">
        <v>228</v>
      </c>
      <c r="C42" s="1">
        <f>COUNTIF(REGISTROS!$B$4:$B$133,B42)</f>
        <v>0</v>
      </c>
    </row>
    <row r="43" spans="1:3" x14ac:dyDescent="0.25">
      <c r="A43" s="1">
        <v>38</v>
      </c>
      <c r="B43" s="1" t="s">
        <v>229</v>
      </c>
      <c r="C43" s="1">
        <f>COUNTIF(REGISTROS!$B$4:$B$133,B43)</f>
        <v>0</v>
      </c>
    </row>
    <row r="44" spans="1:3" x14ac:dyDescent="0.25">
      <c r="A44" s="1">
        <v>39</v>
      </c>
      <c r="B44" s="1" t="s">
        <v>230</v>
      </c>
      <c r="C44" s="1">
        <f>COUNTIF(REGISTROS!$B$4:$B$133,B44)</f>
        <v>0</v>
      </c>
    </row>
    <row r="45" spans="1:3" x14ac:dyDescent="0.25">
      <c r="A45" s="1">
        <v>40</v>
      </c>
      <c r="B45" s="1"/>
      <c r="C45" s="1">
        <f>COUNTIF(REGISTROS!$B$4:$B$133,B45)</f>
        <v>0</v>
      </c>
    </row>
    <row r="46" spans="1:3" x14ac:dyDescent="0.25">
      <c r="A46" s="1">
        <v>41</v>
      </c>
      <c r="B46" s="1"/>
      <c r="C46" s="1">
        <f>COUNTIF(REGISTROS!$B$4:$B$133,B46)</f>
        <v>0</v>
      </c>
    </row>
    <row r="47" spans="1:3" x14ac:dyDescent="0.25">
      <c r="A47" s="1">
        <v>42</v>
      </c>
      <c r="B47" s="1"/>
      <c r="C47" s="1">
        <f>COUNTIF(REGISTROS!$B$4:$B$133,B47)</f>
        <v>0</v>
      </c>
    </row>
    <row r="48" spans="1:3" x14ac:dyDescent="0.25">
      <c r="A48" s="1">
        <v>43</v>
      </c>
      <c r="B48" s="1"/>
      <c r="C48" s="1">
        <f>COUNTIF(REGISTROS!$B$4:$B$133,B48)</f>
        <v>0</v>
      </c>
    </row>
    <row r="49" spans="1:3" x14ac:dyDescent="0.25">
      <c r="A49" s="1">
        <v>44</v>
      </c>
      <c r="B49" s="1"/>
      <c r="C49" s="1">
        <f>COUNTIF(REGISTROS!$B$4:$B$133,B49)</f>
        <v>0</v>
      </c>
    </row>
    <row r="50" spans="1:3" x14ac:dyDescent="0.25">
      <c r="A50" s="1">
        <v>45</v>
      </c>
      <c r="B50" s="1"/>
      <c r="C50" s="1">
        <f>COUNTIF(REGISTROS!$B$4:$B$133,B50)</f>
        <v>0</v>
      </c>
    </row>
    <row r="51" spans="1:3" x14ac:dyDescent="0.25">
      <c r="A51" s="1">
        <v>46</v>
      </c>
      <c r="B51" s="1"/>
      <c r="C51" s="1">
        <f>COUNTIF(REGISTROS!$B$4:$B$133,B51)</f>
        <v>0</v>
      </c>
    </row>
    <row r="52" spans="1:3" x14ac:dyDescent="0.25">
      <c r="A52" s="1">
        <v>47</v>
      </c>
      <c r="B52" s="1"/>
      <c r="C52" s="1">
        <f>COUNTIF(REGISTROS!$B$4:$B$133,B52)</f>
        <v>0</v>
      </c>
    </row>
    <row r="53" spans="1:3" x14ac:dyDescent="0.25">
      <c r="A53" s="1">
        <v>48</v>
      </c>
      <c r="B53" s="1"/>
      <c r="C53" s="1">
        <f>COUNTIF(REGISTROS!$B$4:$B$133,B53)</f>
        <v>0</v>
      </c>
    </row>
    <row r="54" spans="1:3" x14ac:dyDescent="0.25">
      <c r="A54" s="1">
        <v>49</v>
      </c>
      <c r="B54" s="1"/>
      <c r="C54" s="1">
        <f>COUNTIF(REGISTROS!$B$4:$B$133,B54)</f>
        <v>0</v>
      </c>
    </row>
    <row r="55" spans="1:3" x14ac:dyDescent="0.25">
      <c r="A55" s="1">
        <v>50</v>
      </c>
      <c r="B55" s="1"/>
      <c r="C55" s="1">
        <f>COUNTIF(REGISTROS!$B$4:$B$133,B55)</f>
        <v>0</v>
      </c>
    </row>
    <row r="56" spans="1:3" x14ac:dyDescent="0.25">
      <c r="A56" s="1">
        <v>51</v>
      </c>
      <c r="B56" s="1"/>
      <c r="C56" s="1">
        <f>COUNTIF(REGISTROS!$B$4:$B$133,B56)</f>
        <v>0</v>
      </c>
    </row>
    <row r="57" spans="1:3" x14ac:dyDescent="0.25">
      <c r="A57" s="1">
        <v>52</v>
      </c>
      <c r="B57" s="1"/>
      <c r="C57" s="1">
        <f>COUNTIF(REGISTROS!$B$4:$B$133,B57)</f>
        <v>0</v>
      </c>
    </row>
    <row r="58" spans="1:3" x14ac:dyDescent="0.25">
      <c r="A58" s="1">
        <v>53</v>
      </c>
      <c r="B58" s="1"/>
      <c r="C58" s="1">
        <f>COUNTIF(REGISTROS!$B$4:$B$133,B58)</f>
        <v>0</v>
      </c>
    </row>
    <row r="59" spans="1:3" x14ac:dyDescent="0.25">
      <c r="A59" s="1">
        <v>54</v>
      </c>
      <c r="B59" s="1"/>
      <c r="C59" s="1">
        <f>COUNTIF(REGISTROS!$B$4:$B$133,B59)</f>
        <v>0</v>
      </c>
    </row>
    <row r="60" spans="1:3" x14ac:dyDescent="0.25">
      <c r="A60" s="1">
        <v>55</v>
      </c>
      <c r="B60" s="1"/>
      <c r="C60" s="1">
        <f>COUNTIF(REGISTROS!$B$4:$B$133,B60)</f>
        <v>0</v>
      </c>
    </row>
    <row r="61" spans="1:3" x14ac:dyDescent="0.25">
      <c r="A61" s="1">
        <v>56</v>
      </c>
      <c r="B61" s="1"/>
      <c r="C61" s="1">
        <f>COUNTIF(REGISTROS!$B$4:$B$133,B61)</f>
        <v>0</v>
      </c>
    </row>
    <row r="62" spans="1:3" x14ac:dyDescent="0.25">
      <c r="A62" s="1">
        <v>57</v>
      </c>
      <c r="B62" s="1"/>
      <c r="C62" s="1">
        <f>COUNTIF(REGISTROS!$B$4:$B$133,B62)</f>
        <v>0</v>
      </c>
    </row>
    <row r="63" spans="1:3" x14ac:dyDescent="0.25">
      <c r="A63" s="1">
        <v>58</v>
      </c>
      <c r="B63" s="1"/>
      <c r="C63" s="1">
        <f>COUNTIF(REGISTROS!$B$4:$B$133,B63)</f>
        <v>0</v>
      </c>
    </row>
    <row r="64" spans="1:3" x14ac:dyDescent="0.25">
      <c r="A64" s="1">
        <v>59</v>
      </c>
      <c r="B64" s="1"/>
      <c r="C64" s="1">
        <f>COUNTIF(REGISTROS!$B$4:$B$133,B64)</f>
        <v>0</v>
      </c>
    </row>
    <row r="65" spans="1:3" x14ac:dyDescent="0.25">
      <c r="A65" s="1">
        <v>60</v>
      </c>
      <c r="B65" s="1"/>
      <c r="C65" s="1">
        <f>COUNTIF(REGISTROS!$B$4:$B$133,B65)</f>
        <v>0</v>
      </c>
    </row>
    <row r="66" spans="1:3" x14ac:dyDescent="0.25">
      <c r="A66" s="1">
        <v>61</v>
      </c>
      <c r="B66" s="1"/>
      <c r="C66" s="1">
        <f>COUNTIF(REGISTROS!$B$4:$B$133,B66)</f>
        <v>0</v>
      </c>
    </row>
    <row r="67" spans="1:3" x14ac:dyDescent="0.25">
      <c r="A67" s="1">
        <v>62</v>
      </c>
      <c r="B67" s="1"/>
      <c r="C67" s="1">
        <f>COUNTIF(REGISTROS!$B$4:$B$133,B67)</f>
        <v>0</v>
      </c>
    </row>
    <row r="68" spans="1:3" x14ac:dyDescent="0.25">
      <c r="A68" s="1">
        <v>63</v>
      </c>
      <c r="B68" s="1"/>
      <c r="C68" s="1">
        <f>COUNTIF(REGISTROS!$B$4:$B$133,B68)</f>
        <v>0</v>
      </c>
    </row>
    <row r="69" spans="1:3" x14ac:dyDescent="0.25">
      <c r="A69" s="1">
        <v>64</v>
      </c>
      <c r="B69" s="1"/>
      <c r="C69" s="1">
        <f>COUNTIF(REGISTROS!$B$4:$B$133,B69)</f>
        <v>0</v>
      </c>
    </row>
    <row r="70" spans="1:3" x14ac:dyDescent="0.25">
      <c r="A70" s="1">
        <v>65</v>
      </c>
      <c r="B70" s="1"/>
      <c r="C70" s="1">
        <f>COUNTIF(REGISTROS!$B$4:$B$133,B70)</f>
        <v>0</v>
      </c>
    </row>
    <row r="71" spans="1:3" x14ac:dyDescent="0.25">
      <c r="A71" s="1">
        <v>66</v>
      </c>
      <c r="B71" s="1"/>
      <c r="C71" s="1">
        <f>COUNTIF(REGISTROS!$B$4:$B$133,B71)</f>
        <v>0</v>
      </c>
    </row>
    <row r="72" spans="1:3" x14ac:dyDescent="0.25">
      <c r="A72" s="1">
        <v>67</v>
      </c>
      <c r="B72" s="1"/>
      <c r="C72" s="1">
        <f>COUNTIF(REGISTROS!$B$4:$B$133,B72)</f>
        <v>0</v>
      </c>
    </row>
    <row r="73" spans="1:3" x14ac:dyDescent="0.25">
      <c r="A73" s="1">
        <v>68</v>
      </c>
      <c r="B73" s="1"/>
      <c r="C73" s="1">
        <f>COUNTIF(REGISTROS!$B$4:$B$133,B73)</f>
        <v>0</v>
      </c>
    </row>
    <row r="74" spans="1:3" x14ac:dyDescent="0.25">
      <c r="A74" s="1">
        <v>69</v>
      </c>
      <c r="B74" s="1"/>
      <c r="C74" s="1">
        <f>COUNTIF(REGISTROS!$B$4:$B$133,B74)</f>
        <v>0</v>
      </c>
    </row>
    <row r="75" spans="1:3" x14ac:dyDescent="0.25">
      <c r="A75" s="1">
        <v>70</v>
      </c>
      <c r="B75" s="1"/>
      <c r="C75" s="1">
        <f>COUNTIF(REGISTROS!$B$4:$B$133,B75)</f>
        <v>0</v>
      </c>
    </row>
    <row r="76" spans="1:3" x14ac:dyDescent="0.25">
      <c r="A76" s="1">
        <v>71</v>
      </c>
      <c r="B76" s="1"/>
      <c r="C76" s="1">
        <f>COUNTIF(REGISTROS!$B$4:$B$133,B76)</f>
        <v>0</v>
      </c>
    </row>
    <row r="77" spans="1:3" x14ac:dyDescent="0.25">
      <c r="A77" s="1">
        <v>72</v>
      </c>
      <c r="B77" s="1"/>
      <c r="C77" s="1">
        <f>COUNTIF(REGISTROS!$B$4:$B$133,B77)</f>
        <v>0</v>
      </c>
    </row>
    <row r="78" spans="1:3" x14ac:dyDescent="0.25">
      <c r="A78" s="1">
        <v>73</v>
      </c>
      <c r="B78" s="1"/>
      <c r="C78" s="1">
        <f>COUNTIF(REGISTROS!$B$4:$B$133,B78)</f>
        <v>0</v>
      </c>
    </row>
    <row r="79" spans="1:3" x14ac:dyDescent="0.25">
      <c r="A79" s="1">
        <v>74</v>
      </c>
      <c r="B79" s="1"/>
      <c r="C79" s="1">
        <f>COUNTIF(REGISTROS!$B$4:$B$133,B79)</f>
        <v>0</v>
      </c>
    </row>
    <row r="80" spans="1:3" x14ac:dyDescent="0.25">
      <c r="A80" s="1">
        <v>75</v>
      </c>
      <c r="B80" s="1"/>
      <c r="C80" s="1">
        <f>COUNTIF(REGISTROS!$B$4:$B$133,B80)</f>
        <v>0</v>
      </c>
    </row>
    <row r="81" spans="1:3" x14ac:dyDescent="0.25">
      <c r="A81" s="1">
        <v>76</v>
      </c>
      <c r="B81" s="1"/>
      <c r="C81" s="1">
        <f>COUNTIF(REGISTROS!$B$4:$B$133,B81)</f>
        <v>0</v>
      </c>
    </row>
    <row r="82" spans="1:3" x14ac:dyDescent="0.25">
      <c r="A82" s="1">
        <v>77</v>
      </c>
      <c r="B82" s="1"/>
      <c r="C82" s="1">
        <f>COUNTIF(REGISTROS!$B$4:$B$133,B82)</f>
        <v>0</v>
      </c>
    </row>
    <row r="83" spans="1:3" x14ac:dyDescent="0.25">
      <c r="A83" s="1">
        <v>78</v>
      </c>
      <c r="B83" s="1"/>
      <c r="C83" s="1">
        <f>COUNTIF(REGISTROS!$B$4:$B$133,B83)</f>
        <v>0</v>
      </c>
    </row>
    <row r="84" spans="1:3" x14ac:dyDescent="0.25">
      <c r="A84" s="1">
        <v>79</v>
      </c>
      <c r="B84" s="1"/>
      <c r="C84" s="1">
        <f>COUNTIF(REGISTROS!$B$4:$B$133,B84)</f>
        <v>0</v>
      </c>
    </row>
    <row r="85" spans="1:3" x14ac:dyDescent="0.25">
      <c r="A85" s="1">
        <v>80</v>
      </c>
      <c r="B85" s="1"/>
      <c r="C85" s="1">
        <f>COUNTIF(REGISTROS!$B$4:$B$133,B85)</f>
        <v>0</v>
      </c>
    </row>
    <row r="86" spans="1:3" x14ac:dyDescent="0.25">
      <c r="A86" s="1">
        <v>81</v>
      </c>
      <c r="B86" s="1"/>
      <c r="C86" s="1">
        <f>COUNTIF(REGISTROS!$B$4:$B$133,B86)</f>
        <v>0</v>
      </c>
    </row>
    <row r="87" spans="1:3" x14ac:dyDescent="0.25">
      <c r="A87" s="1">
        <v>82</v>
      </c>
      <c r="B87" s="1"/>
      <c r="C87" s="1">
        <f>COUNTIF(REGISTROS!$B$4:$B$133,B87)</f>
        <v>0</v>
      </c>
    </row>
    <row r="88" spans="1:3" x14ac:dyDescent="0.25">
      <c r="A88" s="1">
        <v>83</v>
      </c>
      <c r="B88" s="1"/>
      <c r="C88" s="1">
        <f>COUNTIF(REGISTROS!$B$4:$B$133,B88)</f>
        <v>0</v>
      </c>
    </row>
    <row r="89" spans="1:3" x14ac:dyDescent="0.25">
      <c r="A89" s="1">
        <v>84</v>
      </c>
      <c r="B89" s="1"/>
      <c r="C89" s="1">
        <f>COUNTIF(REGISTROS!$B$4:$B$133,B89)</f>
        <v>0</v>
      </c>
    </row>
    <row r="90" spans="1:3" x14ac:dyDescent="0.25">
      <c r="A90" s="1">
        <v>85</v>
      </c>
      <c r="B90" s="1"/>
      <c r="C90" s="1">
        <f>COUNTIF(REGISTROS!$B$4:$B$133,B90)</f>
        <v>0</v>
      </c>
    </row>
    <row r="91" spans="1:3" x14ac:dyDescent="0.25">
      <c r="A91" s="1">
        <v>86</v>
      </c>
      <c r="B91" s="1"/>
      <c r="C91" s="1">
        <f>COUNTIF(REGISTROS!$B$4:$B$133,B91)</f>
        <v>0</v>
      </c>
    </row>
    <row r="92" spans="1:3" x14ac:dyDescent="0.25">
      <c r="A92" s="1">
        <v>87</v>
      </c>
      <c r="B92" s="1"/>
      <c r="C92" s="1">
        <f>COUNTIF(REGISTROS!$B$4:$B$133,B92)</f>
        <v>0</v>
      </c>
    </row>
    <row r="93" spans="1:3" x14ac:dyDescent="0.25">
      <c r="A93" s="1">
        <v>88</v>
      </c>
      <c r="B93" s="1"/>
      <c r="C93" s="1">
        <f>COUNTIF(REGISTROS!$B$4:$B$133,B93)</f>
        <v>0</v>
      </c>
    </row>
    <row r="94" spans="1:3" x14ac:dyDescent="0.25">
      <c r="A94" s="1">
        <v>89</v>
      </c>
      <c r="B94" s="1"/>
      <c r="C94" s="1">
        <f>COUNTIF(REGISTROS!$B$4:$B$133,B94)</f>
        <v>0</v>
      </c>
    </row>
    <row r="95" spans="1:3" x14ac:dyDescent="0.25">
      <c r="A95" s="1">
        <v>90</v>
      </c>
      <c r="B95" s="1"/>
      <c r="C95" s="1">
        <f>COUNTIF(REGISTROS!$B$4:$B$133,B95)</f>
        <v>0</v>
      </c>
    </row>
    <row r="96" spans="1:3" x14ac:dyDescent="0.25">
      <c r="A96" s="1">
        <v>91</v>
      </c>
      <c r="B96" s="1"/>
      <c r="C96" s="1">
        <f>COUNTIF(REGISTROS!$B$4:$B$133,B96)</f>
        <v>0</v>
      </c>
    </row>
    <row r="97" spans="1:3" x14ac:dyDescent="0.25">
      <c r="A97" s="1">
        <v>92</v>
      </c>
      <c r="B97" s="1"/>
      <c r="C97" s="1">
        <f>COUNTIF(REGISTROS!$B$4:$B$133,B97)</f>
        <v>0</v>
      </c>
    </row>
    <row r="98" spans="1:3" x14ac:dyDescent="0.25">
      <c r="A98" s="1">
        <v>93</v>
      </c>
      <c r="B98" s="1"/>
      <c r="C98" s="1">
        <f>COUNTIF(REGISTROS!$B$4:$B$133,B98)</f>
        <v>0</v>
      </c>
    </row>
    <row r="99" spans="1:3" x14ac:dyDescent="0.25">
      <c r="A99" s="1">
        <v>94</v>
      </c>
      <c r="B99" s="1"/>
      <c r="C99" s="1">
        <f>COUNTIF(REGISTROS!$B$4:$B$133,B99)</f>
        <v>0</v>
      </c>
    </row>
    <row r="100" spans="1:3" x14ac:dyDescent="0.25">
      <c r="A100" s="1">
        <v>95</v>
      </c>
      <c r="B100" s="1"/>
      <c r="C100" s="1">
        <f>COUNTIF(REGISTROS!$B$4:$B$133,B100)</f>
        <v>0</v>
      </c>
    </row>
    <row r="101" spans="1:3" x14ac:dyDescent="0.25">
      <c r="A101" s="1">
        <v>96</v>
      </c>
      <c r="B101" s="1"/>
      <c r="C101" s="1">
        <f>COUNTIF(REGISTROS!$B$4:$B$133,B101)</f>
        <v>0</v>
      </c>
    </row>
    <row r="102" spans="1:3" x14ac:dyDescent="0.25">
      <c r="A102" s="1">
        <v>97</v>
      </c>
      <c r="B102" s="1"/>
      <c r="C102" s="1">
        <f>COUNTIF(REGISTROS!$B$4:$B$133,B102)</f>
        <v>0</v>
      </c>
    </row>
    <row r="103" spans="1:3" x14ac:dyDescent="0.25">
      <c r="A103" s="1">
        <v>98</v>
      </c>
      <c r="B103" s="1"/>
      <c r="C103" s="1">
        <f>COUNTIF(REGISTROS!$B$4:$B$133,B103)</f>
        <v>0</v>
      </c>
    </row>
    <row r="104" spans="1:3" x14ac:dyDescent="0.25">
      <c r="A104" s="1">
        <v>99</v>
      </c>
      <c r="B104" s="1"/>
      <c r="C104" s="1">
        <f>COUNTIF(REGISTROS!$B$4:$B$133,B104)</f>
        <v>0</v>
      </c>
    </row>
    <row r="105" spans="1:3" x14ac:dyDescent="0.25">
      <c r="A105" s="1">
        <v>100</v>
      </c>
      <c r="B105" s="1"/>
      <c r="C105" s="1">
        <f>COUNTIF(REGISTROS!$B$4:$B$133,B105)</f>
        <v>0</v>
      </c>
    </row>
  </sheetData>
  <mergeCells count="4">
    <mergeCell ref="A4:C4"/>
    <mergeCell ref="C1:L1"/>
    <mergeCell ref="D2:K2"/>
    <mergeCell ref="E4:H4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A02681CB2B4B747B321B98399F6AC0E" ma:contentTypeVersion="11" ma:contentTypeDescription="Crear nuevo documento." ma:contentTypeScope="" ma:versionID="fb177187c3a3392968e7947d258195a9">
  <xsd:schema xmlns:xsd="http://www.w3.org/2001/XMLSchema" xmlns:xs="http://www.w3.org/2001/XMLSchema" xmlns:p="http://schemas.microsoft.com/office/2006/metadata/properties" xmlns:ns3="5570530a-db0c-435e-955d-3fc358556f78" xmlns:ns4="9b574e4c-6851-4ae4-ab35-320168ff77d3" targetNamespace="http://schemas.microsoft.com/office/2006/metadata/properties" ma:root="true" ma:fieldsID="ce0c63ee4ef28b76b5e01a88a6463efc" ns3:_="" ns4:_="">
    <xsd:import namespace="5570530a-db0c-435e-955d-3fc358556f78"/>
    <xsd:import namespace="9b574e4c-6851-4ae4-ab35-320168ff77d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LengthInSecond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570530a-db0c-435e-955d-3fc358556f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b574e4c-6851-4ae4-ab35-320168ff77d3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0D25637-A71B-44F7-B8C8-FAE2FF0654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570530a-db0c-435e-955d-3fc358556f78"/>
    <ds:schemaRef ds:uri="9b574e4c-6851-4ae4-ab35-320168ff77d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28A1100-674B-4211-ABF0-70D2D3FF910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77448C6-A257-4FA6-AA3F-FEE106F78BE8}">
  <ds:schemaRefs>
    <ds:schemaRef ds:uri="http://schemas.microsoft.com/office/infopath/2007/PartnerControls"/>
    <ds:schemaRef ds:uri="http://schemas.microsoft.com/office/2006/documentManagement/types"/>
    <ds:schemaRef ds:uri="http://purl.org/dc/dcmitype/"/>
    <ds:schemaRef ds:uri="http://schemas.microsoft.com/office/2006/metadata/properties"/>
    <ds:schemaRef ds:uri="http://purl.org/dc/terms/"/>
    <ds:schemaRef ds:uri="9b574e4c-6851-4ae4-ab35-320168ff77d3"/>
    <ds:schemaRef ds:uri="5570530a-db0c-435e-955d-3fc358556f78"/>
    <ds:schemaRef ds:uri="http://schemas.openxmlformats.org/package/2006/metadata/core-properties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DOCUMENTACION</vt:lpstr>
      <vt:lpstr>CONTROL SOPORTE</vt:lpstr>
      <vt:lpstr>CONTROL ENTRADA SALIDA</vt:lpstr>
      <vt:lpstr>ENTIDADES</vt:lpstr>
      <vt:lpstr>REGISTROS</vt:lpstr>
      <vt:lpstr>REGISTRO ENTRADA_SALIDA</vt:lpstr>
      <vt:lpstr>ESTADISTICAS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Jefe de Tecnología</dc:creator>
  <cp:lastModifiedBy>Jefe de Tecnología</cp:lastModifiedBy>
  <cp:lastPrinted>2024-08-23T21:17:22Z</cp:lastPrinted>
  <dcterms:created xsi:type="dcterms:W3CDTF">2024-07-22T16:36:51Z</dcterms:created>
  <dcterms:modified xsi:type="dcterms:W3CDTF">2024-08-23T21:17:30Z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0x010100CA02681CB2B4B747B321B98399F6AC0E</vt:lpwstr>
  </property>
</Properties>
</file>